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评分自检" sheetId="2" state="visible" r:id="rId2"/>
    <sheet xmlns:r="http://schemas.openxmlformats.org/officeDocument/2006/relationships" name="分值汇总" sheetId="3" state="visible" r:id="rId3"/>
    <sheet xmlns:r="http://schemas.openxmlformats.org/officeDocument/2006/relationships" name="提交物核对" sheetId="4" state="visible" r:id="rId4"/>
    <sheet xmlns:r="http://schemas.openxmlformats.org/officeDocument/2006/relationships" name="官方要求对照" sheetId="5" state="visible" r:id="rId5"/>
    <sheet xmlns:r="http://schemas.openxmlformats.org/officeDocument/2006/relationships" name="决赛答辩准备" sheetId="6" state="visible" r:id="rId6"/>
    <sheet xmlns:r="http://schemas.openxmlformats.org/officeDocument/2006/relationships" name="退件风险" sheetId="7" state="visible" r:id="rId7"/>
  </sheets>
  <definedNames>
    <definedName name="_xlnm.Print_Titles" localSheetId="0">'说明'!$1:$2</definedName>
    <definedName name="_xlnm._FilterDatabase" localSheetId="1" hidden="1">'评分自检'!$A$2:$L$47</definedName>
    <definedName name="_xlnm.Print_Titles" localSheetId="1">'评分自检'!$1:$2</definedName>
    <definedName name="_xlnm.Print_Titles" localSheetId="2">'分值汇总'!$1:$2</definedName>
    <definedName name="_xlnm._FilterDatabase" localSheetId="3" hidden="1">'提交物核对'!$A$2:$I$24</definedName>
    <definedName name="_xlnm.Print_Titles" localSheetId="3">'提交物核对'!$1:$2</definedName>
    <definedName name="_xlnm._FilterDatabase" localSheetId="4" hidden="1">'官方要求对照'!$A$2:$G$17</definedName>
    <definedName name="_xlnm.Print_Titles" localSheetId="4">'官方要求对照'!$1:$2</definedName>
    <definedName name="_xlnm._FilterDatabase" localSheetId="5" hidden="1">'决赛答辩准备'!$A$2:$H$8</definedName>
    <definedName name="_xlnm.Print_Titles" localSheetId="5">'决赛答辩准备'!$1:$2</definedName>
    <definedName name="_xlnm._FilterDatabase" localSheetId="6" hidden="1">'退件风险'!$A$2:$G$14</definedName>
    <definedName name="_xlnm.Print_Titles" localSheetId="6">'退件风险'!$1:$2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9"/>
      <sz val="12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FFFFFF"/>
      <sz val="10.5"/>
    </font>
    <font>
      <name val="微软雅黑"/>
      <b val="1"/>
      <color rgb="00FFFFFF"/>
      <sz val="10"/>
    </font>
    <font>
      <name val="微软雅黑"/>
      <b val="1"/>
      <color rgb="001F4E79"/>
      <sz val="11"/>
    </font>
    <font>
      <name val="微软雅黑"/>
      <color rgb="00000000"/>
      <sz val="9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5">
    <dxf>
      <font>
        <name val="微软雅黑"/>
        <color rgb="00006100"/>
        <sz val="10"/>
      </font>
      <fill>
        <patternFill patternType="solid">
          <fgColor rgb="00C6EFCE"/>
        </patternFill>
      </fill>
    </dxf>
    <dxf>
      <font>
        <name val="微软雅黑"/>
        <color rgb="009C6500"/>
        <sz val="10"/>
      </font>
      <fill>
        <patternFill patternType="solid">
          <fgColor rgb="00FFEB9C"/>
        </patternFill>
      </fill>
    </dxf>
    <dxf>
      <font>
        <name val="微软雅黑"/>
        <color rgb="009C0006"/>
        <sz val="10"/>
      </font>
      <fill>
        <patternFill patternType="solid">
          <fgColor rgb="00FFC7CE"/>
        </patternFill>
      </fill>
    </dxf>
    <dxf>
      <font>
        <name val="微软雅黑"/>
        <color rgb="00595959"/>
        <sz val="10"/>
      </font>
      <fill>
        <patternFill patternType="solid">
          <fgColor rgb="00F2F2F2"/>
        </patternFill>
      </fill>
    </dxf>
    <dxf>
      <font>
        <name val="微软雅黑"/>
        <color rgb="001F4E79"/>
        <sz val="10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40" customHeight="1">
      <c r="A1" s="1" t="inlineStr">
        <is>
          <t>2026 第九届传智杯 · AI大模型创新应用挑战赛 —— 评审自检清单（模板 v1.0）</t>
        </is>
      </c>
    </row>
    <row r="3">
      <c r="B3" s="2" t="inlineStr">
        <is>
          <t>一、使用说明</t>
        </is>
      </c>
    </row>
    <row r="4" ht="64" customHeight="1">
      <c r="A4" s="3" t="inlineStr"/>
      <c r="B4" s="4" t="inlineStr">
        <is>
          <t>模板声明</t>
        </is>
      </c>
      <c r="C4" s="5" t="inlineStr">
        <is>
          <t>本工作簿为非官方整理模板，按已确认的官方提交要求设计；与官方通知冲突时以官方通知为准。</t>
        </is>
      </c>
      <c r="D4" s="27" t="n"/>
      <c r="E4" s="27" t="n"/>
      <c r="F4" s="27" t="n"/>
      <c r="G4" s="28" t="n"/>
    </row>
    <row r="5" ht="64" customHeight="1">
      <c r="A5" s="3" t="inlineStr"/>
      <c r="B5" s="4" t="inlineStr">
        <is>
          <t>用途</t>
        </is>
      </c>
      <c r="C5" s="5" t="inlineStr">
        <is>
          <t>把评分细则拆成可勾选条目，覆盖文档 / 视频 / 仓库 / 在线演示 / 决赛答辩，用于提交前自查与证据归档。</t>
        </is>
      </c>
      <c r="D5" s="27" t="n"/>
      <c r="E5" s="27" t="n"/>
      <c r="F5" s="27" t="n"/>
      <c r="G5" s="28" t="n"/>
    </row>
    <row r="6" ht="94" customHeight="1">
      <c r="A6" s="3" t="inlineStr"/>
      <c r="B6" s="4" t="inlineStr">
        <is>
          <t>使用步骤</t>
        </is>
      </c>
      <c r="C6" s="5" t="inlineStr">
        <is>
          <t>① 在“评分自检”逐条判定状态；② 填入证据链接/位置；③ 在“提交物核对”核对四类交付物；④ “分值汇总”自动计算完成度；⑤ 提交前清空“退件风险”所有未完成项。</t>
        </is>
      </c>
      <c r="D6" s="27" t="n"/>
      <c r="E6" s="27" t="n"/>
      <c r="F6" s="27" t="n"/>
      <c r="G6" s="28" t="n"/>
    </row>
    <row r="7" ht="49" customHeight="1">
      <c r="A7" s="3" t="inlineStr"/>
      <c r="B7" s="4" t="inlineStr">
        <is>
          <t>状态说明</t>
        </is>
      </c>
      <c r="C7" s="5" t="inlineStr">
        <is>
          <t>未开始 / 进行中 / 已完成 / 不通过 / 不适用（下拉选择；已完成=有证据支撑）。</t>
        </is>
      </c>
      <c r="D7" s="27" t="n"/>
      <c r="E7" s="27" t="n"/>
      <c r="F7" s="27" t="n"/>
      <c r="G7" s="28" t="n"/>
    </row>
    <row r="8" ht="64" customHeight="1">
      <c r="A8" s="3" t="inlineStr"/>
      <c r="B8" s="4" t="inlineStr">
        <is>
          <t>填写原则</t>
        </is>
      </c>
      <c r="C8" s="5" t="inlineStr">
        <is>
          <t>每条“已完成”必须能在“证据链接/位置”列定位到具体文件、章节、时间码或截图，禁止只写“已完成”。</t>
        </is>
      </c>
      <c r="D8" s="27" t="n"/>
      <c r="E8" s="27" t="n"/>
      <c r="F8" s="27" t="n"/>
      <c r="G8" s="28" t="n"/>
    </row>
    <row r="9" ht="79" customHeight="1">
      <c r="A9" s="3" t="inlineStr"/>
      <c r="B9" s="4" t="inlineStr">
        <is>
          <t>分值口径</t>
        </is>
      </c>
      <c r="C9" s="5" t="inlineStr">
        <is>
          <t>评分自检合计 100 分，严格对应官方权重：技术深度 35 + 场景创新 25 + 工程质量 10 + 实用性 10 + UI/UX 10 + 学术价值 10。</t>
        </is>
      </c>
      <c r="D9" s="27" t="n"/>
      <c r="E9" s="27" t="n"/>
      <c r="F9" s="27" t="n"/>
      <c r="G9" s="28" t="n"/>
    </row>
    <row r="10" ht="49" customHeight="1">
      <c r="A10" s="3" t="inlineStr"/>
      <c r="B10" s="4" t="inlineStr">
        <is>
          <t>决赛部分</t>
        </is>
      </c>
      <c r="C10" s="5" t="inlineStr">
        <is>
          <t>决赛答辩占决赛成绩 30%，单独列在“决赛答辩准备”工作表，不计入本表 100 分。</t>
        </is>
      </c>
      <c r="D10" s="27" t="n"/>
      <c r="E10" s="27" t="n"/>
      <c r="F10" s="27" t="n"/>
      <c r="G10" s="28" t="n"/>
    </row>
    <row r="11" ht="64" customHeight="1">
      <c r="A11" s="3" t="inlineStr"/>
      <c r="B11" s="4" t="inlineStr">
        <is>
          <t>分值校验</t>
        </is>
      </c>
      <c r="C11" s="5" t="inlineStr">
        <is>
          <t>设计值：45 个条目，合计 100 分（脚本生成时已校验：六大维度分别为 35/25/10/10/10/10）。</t>
        </is>
      </c>
      <c r="D11" s="27" t="n"/>
      <c r="E11" s="27" t="n"/>
      <c r="F11" s="27" t="n"/>
      <c r="G11" s="28" t="n"/>
    </row>
    <row r="12" ht="49" customHeight="1">
      <c r="A12" s="3" t="inlineStr"/>
      <c r="B12" s="4" t="inlineStr">
        <is>
          <t>维护建议</t>
        </is>
      </c>
      <c r="C12" s="5" t="inlineStr">
        <is>
          <t>每完成一个模块更新一次；正式提交前截图存档，作为《提交材料总清单》的附件。</t>
        </is>
      </c>
      <c r="D12" s="27" t="n"/>
      <c r="E12" s="27" t="n"/>
      <c r="F12" s="27" t="n"/>
      <c r="G12" s="28" t="n"/>
    </row>
    <row r="14">
      <c r="B14" s="2" t="inlineStr">
        <is>
          <t>二、官方评分权重</t>
        </is>
      </c>
    </row>
    <row r="15" ht="26" customHeight="1">
      <c r="A15" s="7" t="inlineStr">
        <is>
          <t>序号</t>
        </is>
      </c>
      <c r="B15" s="7" t="inlineStr">
        <is>
          <t>评分维度</t>
        </is>
      </c>
      <c r="C15" s="7" t="inlineStr">
        <is>
          <t>权重</t>
        </is>
      </c>
      <c r="D15" s="7" t="inlineStr">
        <is>
          <t>对应模块/证据</t>
        </is>
      </c>
      <c r="E15" s="7" t="inlineStr">
        <is>
          <t>备注</t>
        </is>
      </c>
    </row>
    <row r="16" ht="34" customHeight="1">
      <c r="A16" s="8" t="inlineStr">
        <is>
          <t>1</t>
        </is>
      </c>
      <c r="B16" s="9" t="inlineStr">
        <is>
          <t>Agent 与大模型技术深度</t>
        </is>
      </c>
      <c r="C16" s="10" t="inlineStr">
        <is>
          <t>35%</t>
        </is>
      </c>
      <c r="D16" s="11" t="inlineStr">
        <is>
          <t>M1–M6，重点 M2/M5</t>
        </is>
      </c>
      <c r="E16" s="11" t="inlineStr">
        <is>
          <t>技术文档第 4 章、评测报告、Prompt 审计</t>
        </is>
      </c>
    </row>
    <row r="17" ht="19" customHeight="1">
      <c r="A17" s="8" t="inlineStr">
        <is>
          <t>2</t>
        </is>
      </c>
      <c r="B17" s="9" t="inlineStr">
        <is>
          <t>科研场景创新性</t>
        </is>
      </c>
      <c r="C17" s="10" t="inlineStr">
        <is>
          <t>25%</t>
        </is>
      </c>
      <c r="D17" s="11" t="inlineStr">
        <is>
          <t>M2/M3/M5/M6</t>
        </is>
      </c>
      <c r="E17" s="11" t="inlineStr">
        <is>
          <t>创新点清单、真实任务闭环</t>
        </is>
      </c>
    </row>
    <row r="18" ht="19" customHeight="1">
      <c r="A18" s="8" t="inlineStr">
        <is>
          <t>3</t>
        </is>
      </c>
      <c r="B18" s="9" t="inlineStr">
        <is>
          <t>全栈工程质量</t>
        </is>
      </c>
      <c r="C18" s="10" t="inlineStr">
        <is>
          <t>10%</t>
        </is>
      </c>
      <c r="D18" s="11" t="inlineStr">
        <is>
          <t>全部</t>
        </is>
      </c>
      <c r="E18" s="11" t="inlineStr">
        <is>
          <t>仓库、CI、测试、Docker</t>
        </is>
      </c>
    </row>
    <row r="19" ht="19" customHeight="1">
      <c r="A19" s="8" t="inlineStr">
        <is>
          <t>4</t>
        </is>
      </c>
      <c r="B19" s="9" t="inlineStr">
        <is>
          <t>科研实用性与业务闭环</t>
        </is>
      </c>
      <c r="C19" s="10" t="inlineStr">
        <is>
          <t>10%</t>
        </is>
      </c>
      <c r="D19" s="11" t="inlineStr">
        <is>
          <t>M1→M2→M5→M6</t>
        </is>
      </c>
      <c r="E19" s="11" t="inlineStr">
        <is>
          <t>端到端演示、示例数据</t>
        </is>
      </c>
    </row>
    <row r="20" ht="19" customHeight="1">
      <c r="A20" s="8" t="inlineStr">
        <is>
          <t>5</t>
        </is>
      </c>
      <c r="B20" s="9" t="inlineStr">
        <is>
          <t>学术级 UI/UX</t>
        </is>
      </c>
      <c r="C20" s="10" t="inlineStr">
        <is>
          <t>10%</t>
        </is>
      </c>
      <c r="D20" s="11" t="inlineStr">
        <is>
          <t>M3/M6</t>
        </is>
      </c>
      <c r="E20" s="11" t="inlineStr">
        <is>
          <t>版式阅读器、写作工作台</t>
        </is>
      </c>
    </row>
    <row r="21" ht="19" customHeight="1">
      <c r="A21" s="8" t="inlineStr">
        <is>
          <t>6</t>
        </is>
      </c>
      <c r="B21" s="9" t="inlineStr">
        <is>
          <t>学术价值与应用广度</t>
        </is>
      </c>
      <c r="C21" s="10" t="inlineStr">
        <is>
          <t>10%</t>
        </is>
      </c>
      <c r="D21" s="11" t="inlineStr">
        <is>
          <t>M4/M5</t>
        </is>
      </c>
      <c r="E21" s="11" t="inlineStr">
        <is>
          <t>综述成果、扩展场景</t>
        </is>
      </c>
    </row>
    <row r="22" ht="34" customHeight="1">
      <c r="A22" s="8" t="inlineStr">
        <is>
          <t>—</t>
        </is>
      </c>
      <c r="B22" s="9" t="inlineStr">
        <is>
          <t>决赛答辩（占决赛 30%）</t>
        </is>
      </c>
      <c r="C22" s="10" t="inlineStr">
        <is>
          <t>30%（决赛）</t>
        </is>
      </c>
      <c r="D22" s="11" t="inlineStr">
        <is>
          <t>代码架构、Prompt 审计、现场 Demo</t>
        </is>
      </c>
      <c r="E22" s="11" t="inlineStr">
        <is>
          <t>见“决赛答辩准备”表</t>
        </is>
      </c>
    </row>
    <row r="24">
      <c r="B24" s="2" t="inlineStr">
        <is>
          <t>三、工作表导航</t>
        </is>
      </c>
    </row>
    <row r="25" ht="49" customHeight="1">
      <c r="A25" s="6" t="n"/>
      <c r="B25" s="12" t="inlineStr">
        <is>
          <t>评分自检</t>
        </is>
      </c>
      <c r="C25" s="5" t="inlineStr">
        <is>
          <t>45 条评分细则，按维度拆分为可勾选条目，含分值与自查要点</t>
        </is>
      </c>
      <c r="D25" s="27" t="n"/>
      <c r="E25" s="27" t="n"/>
      <c r="F25" s="27" t="n"/>
      <c r="G25" s="28" t="n"/>
    </row>
    <row r="26" ht="49" customHeight="1">
      <c r="A26" s="6" t="n"/>
      <c r="B26" s="12" t="inlineStr">
        <is>
          <t>分值汇总</t>
        </is>
      </c>
      <c r="C26" s="5" t="inlineStr">
        <is>
          <t>按维度统计完成条目数、已完成分值、完成率（公式自动计算）</t>
        </is>
      </c>
      <c r="D26" s="27" t="n"/>
      <c r="E26" s="27" t="n"/>
      <c r="F26" s="27" t="n"/>
      <c r="G26" s="28" t="n"/>
    </row>
    <row r="27" ht="49" customHeight="1">
      <c r="A27" s="6" t="n"/>
      <c r="B27" s="12" t="inlineStr">
        <is>
          <t>提交物核对</t>
        </is>
      </c>
      <c r="C27" s="5" t="inlineStr">
        <is>
          <t>仓库 / README / Git / 视频 / 文档 / 在线演示 / 账号 逐项核对</t>
        </is>
      </c>
      <c r="D27" s="27" t="n"/>
      <c r="E27" s="27" t="n"/>
      <c r="F27" s="27" t="n"/>
      <c r="G27" s="28" t="n"/>
    </row>
    <row r="28" ht="34" customHeight="1">
      <c r="A28" s="6" t="n"/>
      <c r="B28" s="12" t="inlineStr">
        <is>
          <t>官方要求对照</t>
        </is>
      </c>
      <c r="C28" s="5" t="inlineStr">
        <is>
          <t>官方要求要点 → 对应交付物 → 落地位置 的映射表</t>
        </is>
      </c>
      <c r="D28" s="27" t="n"/>
      <c r="E28" s="27" t="n"/>
      <c r="F28" s="27" t="n"/>
      <c r="G28" s="28" t="n"/>
    </row>
    <row r="29" ht="34" customHeight="1">
      <c r="A29" s="6" t="n"/>
      <c r="B29" s="12" t="inlineStr">
        <is>
          <t>决赛答辩准备</t>
        </is>
      </c>
      <c r="C29" s="5" t="inlineStr">
        <is>
          <t>代码架构讲解、Prompt 审计记录、现场 Demo、Q&amp;A 预案</t>
        </is>
      </c>
      <c r="D29" s="27" t="n"/>
      <c r="E29" s="27" t="n"/>
      <c r="F29" s="27" t="n"/>
      <c r="G29" s="28" t="n"/>
    </row>
    <row r="30" ht="34" customHeight="1">
      <c r="A30" s="6" t="n"/>
      <c r="B30" s="12" t="inlineStr">
        <is>
          <t>退件风险</t>
        </is>
      </c>
      <c r="C30" s="5" t="inlineStr">
        <is>
          <t>常见退件/扣分原因与规避动作，提交前逐项清零</t>
        </is>
      </c>
      <c r="D30" s="27" t="n"/>
      <c r="E30" s="27" t="n"/>
      <c r="F30" s="27" t="n"/>
      <c r="G30" s="28" t="n"/>
    </row>
  </sheetData>
  <mergeCells count="16">
    <mergeCell ref="C29:G29"/>
    <mergeCell ref="C4:G4"/>
    <mergeCell ref="C7:G7"/>
    <mergeCell ref="A1:G1"/>
    <mergeCell ref="C12:G12"/>
    <mergeCell ref="C30:G30"/>
    <mergeCell ref="C6:G6"/>
    <mergeCell ref="C10:G10"/>
    <mergeCell ref="C11:G11"/>
    <mergeCell ref="C25:G25"/>
    <mergeCell ref="C27:G27"/>
    <mergeCell ref="C5:G5"/>
    <mergeCell ref="C28:G28"/>
    <mergeCell ref="C8:G8"/>
    <mergeCell ref="C9:G9"/>
    <mergeCell ref="C26:G26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L47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9" customWidth="1" min="4" max="4"/>
    <col width="26" customWidth="1" min="5" max="5"/>
    <col width="7" customWidth="1" min="6" max="6"/>
    <col width="46" customWidth="1" min="7" max="7"/>
    <col width="10" customWidth="1" min="8" max="8"/>
    <col width="30" customWidth="1" min="9" max="9"/>
    <col width="10" customWidth="1" min="10" max="10"/>
    <col width="12" customWidth="1" min="11" max="11"/>
    <col width="22" customWidth="1" min="12" max="12"/>
  </cols>
  <sheetData>
    <row r="1" ht="32" customHeight="1">
      <c r="A1" s="1" t="inlineStr">
        <is>
          <t>评分自检 · 45 个可勾选条目（合计 100 分，严格对应官方权重）</t>
        </is>
      </c>
    </row>
    <row r="2" ht="30" customHeight="1">
      <c r="A2" s="13" t="inlineStr">
        <is>
          <t>序号</t>
        </is>
      </c>
      <c r="B2" s="13" t="inlineStr">
        <is>
          <t>评分维度</t>
        </is>
      </c>
      <c r="C2" s="13" t="inlineStr">
        <is>
          <t>权重</t>
        </is>
      </c>
      <c r="D2" s="13" t="inlineStr">
        <is>
          <t>条目编号</t>
        </is>
      </c>
      <c r="E2" s="13" t="inlineStr">
        <is>
          <t>核查条目</t>
        </is>
      </c>
      <c r="F2" s="13" t="inlineStr">
        <is>
          <t>分值</t>
        </is>
      </c>
      <c r="G2" s="13" t="inlineStr">
        <is>
          <t>自查要点（可勾选）</t>
        </is>
      </c>
      <c r="H2" s="13" t="inlineStr">
        <is>
          <t>状态</t>
        </is>
      </c>
      <c r="I2" s="13" t="inlineStr">
        <is>
          <t>证据链接 / 位置</t>
        </is>
      </c>
      <c r="J2" s="13" t="inlineStr">
        <is>
          <t>负责人</t>
        </is>
      </c>
      <c r="K2" s="13" t="inlineStr">
        <is>
          <t>自查日期</t>
        </is>
      </c>
      <c r="L2" s="13" t="inlineStr">
        <is>
          <t>备注 / 改进项</t>
        </is>
      </c>
    </row>
    <row r="3" ht="34" customHeight="1">
      <c r="A3" s="10" t="n">
        <v>1</v>
      </c>
      <c r="B3" s="14" t="inlineStr">
        <is>
          <t>Agent 与大模型技术深度</t>
        </is>
      </c>
      <c r="C3" s="15" t="inlineStr">
        <is>
          <t>35%</t>
        </is>
      </c>
      <c r="D3" s="16" t="inlineStr">
        <is>
          <t>A1</t>
        </is>
      </c>
      <c r="E3" s="9" t="inlineStr">
        <is>
          <t>大模型选型有明确对比理由</t>
        </is>
      </c>
      <c r="F3" s="10" t="n">
        <v>3</v>
      </c>
      <c r="G3" s="11" t="inlineStr">
        <is>
          <t>对比 &gt;=2 个候选模型，说明效果/成本/中文能力/时延/上下文长度权衡，并给出最终选择依据</t>
        </is>
      </c>
      <c r="H3" s="8" t="inlineStr">
        <is>
          <t>已通过</t>
        </is>
      </c>
      <c r="I3" s="11" t="inlineStr">
        <is>
          <t>技术文档 3.4 技术选型表；docs/competition/prompt-audit.md</t>
        </is>
      </c>
      <c r="J3" s="10" t="inlineStr">
        <is>
          <t>陈晓乐（自检）</t>
        </is>
      </c>
      <c r="K3" s="10" t="n">
        <v>3</v>
      </c>
      <c r="L3" s="11" t="inlineStr">
        <is>
          <t>对比 DeepSeek-V3 / Qwen2.5-7B 的引用合规差异，并记录选择理由</t>
        </is>
      </c>
    </row>
    <row r="4" ht="34" customHeight="1">
      <c r="A4" s="10" t="n">
        <v>2</v>
      </c>
      <c r="B4" s="17" t="inlineStr">
        <is>
          <t>Agent 与大模型技术深度</t>
        </is>
      </c>
      <c r="C4" s="18" t="inlineStr">
        <is>
          <t>35%</t>
        </is>
      </c>
      <c r="D4" s="16" t="inlineStr">
        <is>
          <t>A2</t>
        </is>
      </c>
      <c r="E4" s="9" t="inlineStr">
        <is>
          <t>Embedding 与向量库选型有依据</t>
        </is>
      </c>
      <c r="F4" s="10" t="n">
        <v>3</v>
      </c>
      <c r="G4" s="11" t="inlineStr">
        <is>
          <t>说明向量模型（中文语义/多语言/维度）与向量库（过滤检索/payload/部署成本）选择理由</t>
        </is>
      </c>
      <c r="H4" s="8" t="inlineStr">
        <is>
          <t>已通过</t>
        </is>
      </c>
      <c r="I4" s="11" t="inlineStr">
        <is>
          <t>技术文档 4.2；migration 0016</t>
        </is>
      </c>
      <c r="J4" s="10" t="inlineStr">
        <is>
          <t>陈晓乐（自检）</t>
        </is>
      </c>
      <c r="K4" s="10" t="n">
        <v>3</v>
      </c>
      <c r="L4" s="11" t="inlineStr">
        <is>
          <t>bge-m3 1024 维、halfvec+HNSW、混维度过滤</t>
        </is>
      </c>
    </row>
    <row r="5" ht="34" customHeight="1">
      <c r="A5" s="10" t="n">
        <v>3</v>
      </c>
      <c r="B5" s="14" t="inlineStr">
        <is>
          <t>Agent 与大模型技术深度</t>
        </is>
      </c>
      <c r="C5" s="15" t="inlineStr">
        <is>
          <t>35%</t>
        </is>
      </c>
      <c r="D5" s="16" t="inlineStr">
        <is>
          <t>A3</t>
        </is>
      </c>
      <c r="E5" s="9" t="inlineStr">
        <is>
          <t>RAG 链路完整且可解释</t>
        </is>
      </c>
      <c r="F5" s="10" t="n">
        <v>4</v>
      </c>
      <c r="G5" s="11" t="inlineStr">
        <is>
          <t>解析→分块→混合检索→重排→生成→溯源全链路有设计说明，关键参数有取值依据</t>
        </is>
      </c>
      <c r="H5" s="8" t="inlineStr">
        <is>
          <t>已通过</t>
        </is>
      </c>
      <c r="I5" s="11" t="inlineStr">
        <is>
          <t>技术文档 3.2/4.3；README 数据流</t>
        </is>
      </c>
      <c r="J5" s="10" t="inlineStr">
        <is>
          <t>陈晓乐（自检）</t>
        </is>
      </c>
      <c r="K5" s="10" t="n">
        <v>4</v>
      </c>
      <c r="L5" s="11" t="inlineStr">
        <is>
          <t>上传→解析→检索→上下文→生成→引用全链路可解释</t>
        </is>
      </c>
    </row>
    <row r="6" ht="34" customHeight="1">
      <c r="A6" s="10" t="n">
        <v>4</v>
      </c>
      <c r="B6" s="17" t="inlineStr">
        <is>
          <t>Agent 与大模型技术深度</t>
        </is>
      </c>
      <c r="C6" s="18" t="inlineStr">
        <is>
          <t>35%</t>
        </is>
      </c>
      <c r="D6" s="16" t="inlineStr">
        <is>
          <t>A4</t>
        </is>
      </c>
      <c r="E6" s="9" t="inlineStr">
        <is>
          <t>分块与语义去重策略有实验对比</t>
        </is>
      </c>
      <c r="F6" s="10" t="n">
        <v>3</v>
      </c>
      <c r="G6" s="11" t="inlineStr">
        <is>
          <t>给出分块大小/重叠/语义去重 v1→v7 的迭代记录与量化效果（重复率、召回率）</t>
        </is>
      </c>
      <c r="H6" s="8" t="inlineStr">
        <is>
          <t>已通过</t>
        </is>
      </c>
      <c r="I6" s="11" t="inlineStr">
        <is>
          <t>技术文档 4.3.5/4.3.6 + 评测报告 §6；检索期去重 A/B（1→0）+ 上传 SimHash 去重（v7→v1 distance=6）+ 版本差异摘要；单测 dedupe/fingerprint</t>
        </is>
      </c>
      <c r="J6" s="10" t="inlineStr">
        <is>
          <t>陈晓乐（自检）</t>
        </is>
      </c>
      <c r="K6" s="10" t="n">
        <v>3</v>
      </c>
      <c r="L6" s="11" t="inlineStr">
        <is>
          <t>阈值 0.85（检索）/14（指纹）与归一化方式已写入文档；更大评测集待补</t>
        </is>
      </c>
    </row>
    <row r="7" ht="34" customHeight="1">
      <c r="A7" s="10" t="n">
        <v>5</v>
      </c>
      <c r="B7" s="14" t="inlineStr">
        <is>
          <t>Agent 与大模型技术深度</t>
        </is>
      </c>
      <c r="C7" s="15" t="inlineStr">
        <is>
          <t>35%</t>
        </is>
      </c>
      <c r="D7" s="16" t="inlineStr">
        <is>
          <t>A5</t>
        </is>
      </c>
      <c r="E7" s="9" t="inlineStr">
        <is>
          <t>抗幻觉机制可验证</t>
        </is>
      </c>
      <c r="F7" s="10" t="n">
        <v>4</v>
      </c>
      <c r="G7" s="11" t="inlineStr">
        <is>
          <t>引用约束 Prompt + 无依据拒答 + 逐句引用校验；能现场演示 1 个拒答/纠错案例</t>
        </is>
      </c>
      <c r="H7" s="8" t="inlineStr">
        <is>
          <t>已通过</t>
        </is>
      </c>
      <c r="I7" s="11" t="inlineStr">
        <is>
          <t>技术文档 4.5；grounding 事件实测</t>
        </is>
      </c>
      <c r="J7" s="10" t="inlineStr">
        <is>
          <t>陈晓乐（自检）</t>
        </is>
      </c>
      <c r="K7" s="10" t="n">
        <v>4</v>
      </c>
      <c r="L7" s="11" t="inlineStr">
        <is>
          <t>提示词+规则 grounding+无证据拒答 三道闸门，可现场演示</t>
        </is>
      </c>
    </row>
    <row r="8" ht="34" customHeight="1">
      <c r="A8" s="10" t="n">
        <v>6</v>
      </c>
      <c r="B8" s="17" t="inlineStr">
        <is>
          <t>Agent 与大模型技术深度</t>
        </is>
      </c>
      <c r="C8" s="18" t="inlineStr">
        <is>
          <t>35%</t>
        </is>
      </c>
      <c r="D8" s="16" t="inlineStr">
        <is>
          <t>A6</t>
        </is>
      </c>
      <c r="E8" s="9" t="inlineStr">
        <is>
          <t>多篇对比问答的跨文档对齐清晰</t>
        </is>
      </c>
      <c r="F8" s="10" t="n">
        <v>3</v>
      </c>
      <c r="G8" s="11" t="inlineStr">
        <is>
          <t>说明多文档证据如何对齐、冲突如何处理、对比结论如何附出处</t>
        </is>
      </c>
      <c r="H8" s="8" t="inlineStr">
        <is>
          <t>已通过</t>
        </is>
      </c>
      <c r="I8" s="11" t="inlineStr">
        <is>
          <t>多篇对比接口 POST /knowledge-bases/{id}/compare + KB 页面对照表面板；技术文档 5.7；实测 1599 字对照表 + 8 条引用</t>
        </is>
      </c>
      <c r="J8" s="10" t="inlineStr">
        <is>
          <t>陈晓乐（自检）</t>
        </is>
      </c>
      <c r="K8" s="10" t="n">
        <v>3</v>
      </c>
      <c r="L8" s="11" t="inlineStr">
        <is>
          <t>证据充分时生成对照表；证据不足走固定说明（技术文档 5.7）</t>
        </is>
      </c>
    </row>
    <row r="9" ht="34" customHeight="1">
      <c r="A9" s="10" t="n">
        <v>7</v>
      </c>
      <c r="B9" s="14" t="inlineStr">
        <is>
          <t>Agent 与大模型技术深度</t>
        </is>
      </c>
      <c r="C9" s="15" t="inlineStr">
        <is>
          <t>35%</t>
        </is>
      </c>
      <c r="D9" s="16" t="inlineStr">
        <is>
          <t>A7</t>
        </is>
      </c>
      <c r="E9" s="9" t="inlineStr">
        <is>
          <t>Agent 编排有工程实现</t>
        </is>
      </c>
      <c r="F9" s="10" t="n">
        <v>4</v>
      </c>
      <c r="G9" s="11" t="inlineStr">
        <is>
          <t>意图识别/工具调用/多步状态管理/失败重试可演示，说明与纯 Prompt 方案的差异</t>
        </is>
      </c>
      <c r="H9" s="8" t="inlineStr">
        <is>
          <t>已通过</t>
        </is>
      </c>
      <c r="I9" s="11" t="inlineStr">
        <is>
          <t>技术文档 4.6；Agent 执行轨迹页面</t>
        </is>
      </c>
      <c r="J9" s="10" t="inlineStr">
        <is>
          <t>陈晓乐（自检）</t>
        </is>
      </c>
      <c r="K9" s="10" t="n">
        <v>4</v>
      </c>
      <c r="L9" s="11" t="inlineStr">
        <is>
          <t>Eino ADK + 工具注册表 + 轨迹落库 + 取消/恢复</t>
        </is>
      </c>
    </row>
    <row r="10" ht="34" customHeight="1">
      <c r="A10" s="10" t="n">
        <v>8</v>
      </c>
      <c r="B10" s="17" t="inlineStr">
        <is>
          <t>Agent 与大模型技术深度</t>
        </is>
      </c>
      <c r="C10" s="18" t="inlineStr">
        <is>
          <t>35%</t>
        </is>
      </c>
      <c r="D10" s="16" t="inlineStr">
        <is>
          <t>A8</t>
        </is>
      </c>
      <c r="E10" s="9" t="inlineStr">
        <is>
          <t>Prompt 工程可审计</t>
        </is>
      </c>
      <c r="F10" s="10" t="n">
        <v>3</v>
      </c>
      <c r="G10" s="11" t="inlineStr">
        <is>
          <t>Prompt 版本化、场景清单、bad case 与修改记录（Prompt 审计记录表），可接受现场抽查</t>
        </is>
      </c>
      <c r="H10" s="8" t="inlineStr">
        <is>
          <t>已通过</t>
        </is>
      </c>
      <c r="I10" s="11" t="inlineStr">
        <is>
          <t>docs/competition/prompt-audit.md</t>
        </is>
      </c>
      <c r="J10" s="10" t="inlineStr">
        <is>
          <t>陈晓乐（自检）</t>
        </is>
      </c>
      <c r="K10" s="10" t="n">
        <v>3</v>
      </c>
      <c r="L10" s="11" t="inlineStr">
        <is>
          <t>8 类 Prompt 的版本/原因/效果/代码位置全记录</t>
        </is>
      </c>
    </row>
    <row r="11" ht="34" customHeight="1">
      <c r="A11" s="10" t="n">
        <v>9</v>
      </c>
      <c r="B11" s="14" t="inlineStr">
        <is>
          <t>Agent 与大模型技术深度</t>
        </is>
      </c>
      <c r="C11" s="15" t="inlineStr">
        <is>
          <t>35%</t>
        </is>
      </c>
      <c r="D11" s="16" t="inlineStr">
        <is>
          <t>A9</t>
        </is>
      </c>
      <c r="E11" s="9" t="inlineStr">
        <is>
          <t>AI 效果评测方法与基线</t>
        </is>
      </c>
      <c r="F11" s="10" t="n">
        <v>4</v>
      </c>
      <c r="G11" s="11" t="inlineStr">
        <is>
          <t>有评测集、指标（检索 recall@k、引用准确率、幻觉率）与基线/消融对比结果</t>
        </is>
      </c>
      <c r="H11" s="8" t="inlineStr">
        <is>
          <t>已通过</t>
        </is>
      </c>
      <c r="I11" s="11" t="inlineStr">
        <is>
          <t>评测报告.md；仓库 docs/competition/eval/（hit@1 71.4%/hit@3 100%/MRR 0.833；引用页码 3/3）</t>
        </is>
      </c>
      <c r="J11" s="10" t="inlineStr">
        <is>
          <t>陈晓乐（自检）</t>
        </is>
      </c>
      <c r="K11" s="10" t="n">
        <v>4</v>
      </c>
      <c r="L11" s="11" t="inlineStr">
        <is>
          <t>评测集 7 条检索 + 3 条引用问答；脚本可复现；数据集规模为已知限制（技术文档 4.9/评测报告 4）</t>
        </is>
      </c>
    </row>
    <row r="12" ht="34" customHeight="1">
      <c r="A12" s="10" t="n">
        <v>10</v>
      </c>
      <c r="B12" s="17" t="inlineStr">
        <is>
          <t>Agent 与大模型技术深度</t>
        </is>
      </c>
      <c r="C12" s="18" t="inlineStr">
        <is>
          <t>35%</t>
        </is>
      </c>
      <c r="D12" s="16" t="inlineStr">
        <is>
          <t>A10</t>
        </is>
      </c>
      <c r="E12" s="9" t="inlineStr">
        <is>
          <t>性能与成本优化有数据</t>
        </is>
      </c>
      <c r="F12" s="10" t="n">
        <v>2</v>
      </c>
      <c r="G12" s="11" t="inlineStr">
        <is>
          <t>缓存/并发/token 成本/首字时延优化有前后对比，给出长文档场景实测数字</t>
        </is>
      </c>
      <c r="H12" s="8" t="inlineStr">
        <is>
          <t>已通过</t>
        </is>
      </c>
      <c r="I12" s="11" t="inlineStr">
        <is>
          <t>技术文档 4.10 + 评测报告 §7；检索 avg 154ms/P95 178ms、解析耗时、token 用量与库规模；去重/缓存/上下文预算等优化</t>
        </is>
      </c>
      <c r="J12" s="10" t="inlineStr">
        <is>
          <t>陈晓乐（自检）</t>
        </is>
      </c>
      <c r="K12" s="10" t="n">
        <v>3</v>
      </c>
      <c r="L12" s="11" t="inlineStr">
        <is>
          <t>单机数据；未做并发压测（已知限制）</t>
        </is>
      </c>
    </row>
    <row r="13" ht="34" customHeight="1">
      <c r="A13" s="10" t="n">
        <v>11</v>
      </c>
      <c r="B13" s="14" t="inlineStr">
        <is>
          <t>Agent 与大模型技术深度</t>
        </is>
      </c>
      <c r="C13" s="15" t="inlineStr">
        <is>
          <t>35%</t>
        </is>
      </c>
      <c r="D13" s="16" t="inlineStr">
        <is>
          <t>A11</t>
        </is>
      </c>
      <c r="E13" s="9" t="inlineStr">
        <is>
          <t>Bad case 记录与迭代闭环</t>
        </is>
      </c>
      <c r="F13" s="10" t="n">
        <v>1</v>
      </c>
      <c r="G13" s="11" t="inlineStr">
        <is>
          <t>文档中列出 &gt;=3 个失败案例及改进措施，说明迭代前后效果变化</t>
        </is>
      </c>
      <c r="H13" s="8" t="inlineStr">
        <is>
          <t>已通过</t>
        </is>
      </c>
      <c r="I13" s="11" t="inlineStr">
        <is>
          <t>技术文档 4.1.3/9；DEV-LOG</t>
        </is>
      </c>
      <c r="J13" s="10" t="inlineStr">
        <is>
          <t>陈晓乐（自检）</t>
        </is>
      </c>
      <c r="K13" s="10" t="n">
        <v>1</v>
      </c>
      <c r="L13" s="11" t="inlineStr">
        <is>
          <t>真实 bad case：NUL 字节导致 541 页文档失败、3 分钟超时；修复并记录</t>
        </is>
      </c>
    </row>
    <row r="14" ht="34" customHeight="1">
      <c r="A14" s="10" t="n">
        <v>12</v>
      </c>
      <c r="B14" s="17" t="inlineStr">
        <is>
          <t>Agent 与大模型技术深度</t>
        </is>
      </c>
      <c r="C14" s="18" t="inlineStr">
        <is>
          <t>35%</t>
        </is>
      </c>
      <c r="D14" s="16" t="inlineStr">
        <is>
          <t>A12</t>
        </is>
      </c>
      <c r="E14" s="9" t="inlineStr">
        <is>
          <t>架构描述与代码一致</t>
        </is>
      </c>
      <c r="F14" s="10" t="n">
        <v>1</v>
      </c>
      <c r="G14" s="11" t="inlineStr">
        <is>
          <t>技术文档架构图节点可在代码/目录中一一对应，答辩可走读关键文件</t>
        </is>
      </c>
      <c r="H14" s="8" t="inlineStr">
        <is>
          <t>已通过</t>
        </is>
      </c>
      <c r="I14" s="11" t="inlineStr">
        <is>
          <t>技术文档 3；docs/competition/README.md 架构图 vs 代码目录</t>
        </is>
      </c>
      <c r="J14" s="10" t="inlineStr">
        <is>
          <t>陈晓乐（自检）</t>
        </is>
      </c>
      <c r="K14" s="10" t="n">
        <v>1</v>
      </c>
      <c r="L14" s="11" t="inlineStr">
        <is>
          <t>架构描述与仓库代码一致</t>
        </is>
      </c>
    </row>
    <row r="15" ht="34" customHeight="1">
      <c r="A15" s="10" t="n">
        <v>13</v>
      </c>
      <c r="B15" s="14" t="inlineStr">
        <is>
          <t>科研场景创新性</t>
        </is>
      </c>
      <c r="C15" s="15" t="inlineStr">
        <is>
          <t>25%</t>
        </is>
      </c>
      <c r="D15" s="16" t="inlineStr">
        <is>
          <t>B1</t>
        </is>
      </c>
      <c r="E15" s="9" t="inlineStr">
        <is>
          <t>创新点源于真实科研痛点</t>
        </is>
      </c>
      <c r="F15" s="10" t="n">
        <v>3</v>
      </c>
      <c r="G15" s="11" t="inlineStr">
        <is>
          <t>痛点有场景证据（问卷/访谈/自身体验），不是凭空设想的伪需求</t>
        </is>
      </c>
      <c r="H15" s="8" t="inlineStr">
        <is>
          <t>已通过</t>
        </is>
      </c>
      <c r="I15" s="11" t="inlineStr">
        <is>
          <t>技术文档 1.2；README 痛点</t>
        </is>
      </c>
      <c r="J15" s="10" t="inlineStr">
        <is>
          <t>陈晓乐（自检）</t>
        </is>
      </c>
      <c r="K15" s="10" t="n">
        <v>3</v>
      </c>
      <c r="L15" s="11" t="inlineStr">
        <is>
          <t>出处不可追溯/引用不可信/读完不会用 三个真实科研痛点</t>
        </is>
      </c>
    </row>
    <row r="16" ht="34" customHeight="1">
      <c r="A16" s="10" t="n">
        <v>14</v>
      </c>
      <c r="B16" s="17" t="inlineStr">
        <is>
          <t>科研场景创新性</t>
        </is>
      </c>
      <c r="C16" s="18" t="inlineStr">
        <is>
          <t>25%</t>
        </is>
      </c>
      <c r="D16" s="16" t="inlineStr">
        <is>
          <t>B2</t>
        </is>
      </c>
      <c r="E16" s="9" t="inlineStr">
        <is>
          <t>与同类工作对比清晰</t>
        </is>
      </c>
      <c r="F16" s="10" t="n">
        <v>3</v>
      </c>
      <c r="G16" s="11" t="inlineStr">
        <is>
          <t>列举 &gt;=3 个同类工具/论文，说明差异点与不可替代性</t>
        </is>
      </c>
      <c r="H16" s="8" t="inlineStr">
        <is>
          <t>已通过</t>
        </is>
      </c>
      <c r="I16" s="11" t="inlineStr">
        <is>
          <t>技术文档 1.6 能力对比表（8 个维度，对比通用文档问答/学术检索工具形态）</t>
        </is>
      </c>
      <c r="J16" s="10" t="inlineStr">
        <is>
          <t>陈晓乐（自检）</t>
        </is>
      </c>
      <c r="K16" s="10" t="n">
        <v>3</v>
      </c>
      <c r="L16" s="11" t="inlineStr">
        <is>
          <t>对比维度覆盖溯源/校验/拒答/解析/阅读/引用图谱/写作/BYOK</t>
        </is>
      </c>
    </row>
    <row r="17" ht="34" customHeight="1">
      <c r="A17" s="10" t="n">
        <v>15</v>
      </c>
      <c r="B17" s="14" t="inlineStr">
        <is>
          <t>科研场景创新性</t>
        </is>
      </c>
      <c r="C17" s="15" t="inlineStr">
        <is>
          <t>25%</t>
        </is>
      </c>
      <c r="D17" s="16" t="inlineStr">
        <is>
          <t>B3</t>
        </is>
      </c>
      <c r="E17" s="9" t="inlineStr">
        <is>
          <t>创新点可被验证</t>
        </is>
      </c>
      <c r="F17" s="10" t="n">
        <v>4</v>
      </c>
      <c r="G17" s="11" t="inlineStr">
        <is>
          <t>每个创新点对应一个可演示动作或一组实验数据，避免只写形容词</t>
        </is>
      </c>
      <c r="H17" s="8" t="inlineStr">
        <is>
          <t>已通过</t>
        </is>
      </c>
      <c r="I17" s="11" t="inlineStr">
        <is>
          <t>技术文档 4.3.4/4.5.4/4.9 实测</t>
        </is>
      </c>
      <c r="J17" s="10" t="inlineStr">
        <is>
          <t>陈晓乐（自检）</t>
        </is>
      </c>
      <c r="K17" s="10" t="n">
        <v>4</v>
      </c>
      <c r="L17" s="11" t="inlineStr">
        <is>
          <t>页码高亮、混合检索、grounding 均可现场验证</t>
        </is>
      </c>
    </row>
    <row r="18" ht="34" customHeight="1">
      <c r="A18" s="10" t="n">
        <v>16</v>
      </c>
      <c r="B18" s="17" t="inlineStr">
        <is>
          <t>科研场景创新性</t>
        </is>
      </c>
      <c r="C18" s="18" t="inlineStr">
        <is>
          <t>25%</t>
        </is>
      </c>
      <c r="D18" s="16" t="inlineStr">
        <is>
          <t>B4</t>
        </is>
      </c>
      <c r="E18" s="9" t="inlineStr">
        <is>
          <t>科研任务闭环成立</t>
        </is>
      </c>
      <c r="F18" s="10" t="n">
        <v>4</v>
      </c>
      <c r="G18" s="11" t="inlineStr">
        <is>
          <t>检索→精读→对比→图谱→综述→写作可端到端跑通，形成任务闭环</t>
        </is>
      </c>
      <c r="H18" s="8" t="inlineStr">
        <is>
          <t>已通过</t>
        </is>
      </c>
      <c r="I18" s="11" t="inlineStr">
        <is>
          <t>技术文档 5；六模块演示路径</t>
        </is>
      </c>
      <c r="J18" s="10" t="inlineStr">
        <is>
          <t>陈晓乐（自检）</t>
        </is>
      </c>
      <c r="K18" s="10" t="n">
        <v>4</v>
      </c>
      <c r="L18" s="11" t="inlineStr">
        <is>
          <t>读→查→译→引用图谱→写作 闭环成立</t>
        </is>
      </c>
    </row>
    <row r="19" ht="34" customHeight="1">
      <c r="A19" s="10" t="n">
        <v>17</v>
      </c>
      <c r="B19" s="14" t="inlineStr">
        <is>
          <t>科研场景创新性</t>
        </is>
      </c>
      <c r="C19" s="15" t="inlineStr">
        <is>
          <t>25%</t>
        </is>
      </c>
      <c r="D19" s="16" t="inlineStr">
        <is>
          <t>B5</t>
        </is>
      </c>
      <c r="E19" s="9" t="inlineStr">
        <is>
          <t>不与通用聊天工具同质化</t>
        </is>
      </c>
      <c r="F19" s="10" t="n">
        <v>3</v>
      </c>
      <c r="G19" s="11" t="inlineStr">
        <is>
          <t>能回答'为什么不用 ChatGPT/文献管理工具'的质疑，有明确边界</t>
        </is>
      </c>
      <c r="H19" s="8" t="inlineStr">
        <is>
          <t>已通过</t>
        </is>
      </c>
      <c r="I19" s="11" t="inlineStr">
        <is>
          <t>技术文档 1.1/4.5</t>
        </is>
      </c>
      <c r="J19" s="10" t="inlineStr">
        <is>
          <t>陈晓乐（自检）</t>
        </is>
      </c>
      <c r="K19" s="10" t="n">
        <v>3</v>
      </c>
      <c r="L19" s="11" t="inlineStr">
        <is>
          <t>科研溯源与抗幻觉是通用聊天工具不提供的</t>
        </is>
      </c>
    </row>
    <row r="20" ht="34" customHeight="1">
      <c r="A20" s="10" t="n">
        <v>18</v>
      </c>
      <c r="B20" s="17" t="inlineStr">
        <is>
          <t>科研场景创新性</t>
        </is>
      </c>
      <c r="C20" s="18" t="inlineStr">
        <is>
          <t>25%</t>
        </is>
      </c>
      <c r="D20" s="16" t="inlineStr">
        <is>
          <t>B6</t>
        </is>
      </c>
      <c r="E20" s="9" t="inlineStr">
        <is>
          <t>场景可迁移扩展</t>
        </is>
      </c>
      <c r="F20" s="10" t="n">
        <v>3</v>
      </c>
      <c r="G20" s="11" t="inlineStr">
        <is>
          <t>说明可扩展的学科/语种/文献类型及迁移成本</t>
        </is>
      </c>
      <c r="H20" s="8" t="inlineStr">
        <is>
          <t>已通过</t>
        </is>
      </c>
      <c r="I20" s="11" t="inlineStr">
        <is>
          <t>技术文档 4.1/4.3</t>
        </is>
      </c>
      <c r="J20" s="10" t="inlineStr">
        <is>
          <t>陈晓乐（自检）</t>
        </is>
      </c>
      <c r="K20" s="10" t="n">
        <v>3</v>
      </c>
      <c r="L20" s="11" t="inlineStr">
        <is>
          <t>解析/检索/grounding 可迁移到其他文档场景</t>
        </is>
      </c>
    </row>
    <row r="21" ht="34" customHeight="1">
      <c r="A21" s="10" t="n">
        <v>19</v>
      </c>
      <c r="B21" s="14" t="inlineStr">
        <is>
          <t>科研场景创新性</t>
        </is>
      </c>
      <c r="C21" s="15" t="inlineStr">
        <is>
          <t>25%</t>
        </is>
      </c>
      <c r="D21" s="16" t="inlineStr">
        <is>
          <t>B7</t>
        </is>
      </c>
      <c r="E21" s="9" t="inlineStr">
        <is>
          <t>有真实用户反馈</t>
        </is>
      </c>
      <c r="F21" s="10" t="n">
        <v>3</v>
      </c>
      <c r="G21" s="11" t="inlineStr">
        <is>
          <t>提供导师/同学/实验室试用反馈或使用记录（可脱敏）</t>
        </is>
      </c>
      <c r="H21" s="8" t="inlineStr">
        <is>
          <t>未开始</t>
        </is>
      </c>
      <c r="I21" s="11" t="inlineStr">
        <is>
          <t>—</t>
        </is>
      </c>
      <c r="J21" s="10" t="inlineStr">
        <is>
          <t>陈晓乐（自检）</t>
        </is>
      </c>
      <c r="K21" s="10" t="n">
        <v>0</v>
      </c>
      <c r="L21" s="11" t="inlineStr">
        <is>
          <t>真实用户反馈尚未收集（提交前可请同学试用并记录）</t>
        </is>
      </c>
    </row>
    <row r="22" ht="34" customHeight="1">
      <c r="A22" s="10" t="n">
        <v>20</v>
      </c>
      <c r="B22" s="17" t="inlineStr">
        <is>
          <t>科研场景创新性</t>
        </is>
      </c>
      <c r="C22" s="18" t="inlineStr">
        <is>
          <t>25%</t>
        </is>
      </c>
      <c r="D22" s="16" t="inlineStr">
        <is>
          <t>B8</t>
        </is>
      </c>
      <c r="E22" s="9" t="inlineStr">
        <is>
          <t>创新点表述具体可复述</t>
        </is>
      </c>
      <c r="F22" s="10" t="n">
        <v>2</v>
      </c>
      <c r="G22" s="11" t="inlineStr">
        <is>
          <t>每个创新点一句话说清'做了什么+解决了什么+效果多少'</t>
        </is>
      </c>
      <c r="H22" s="8" t="inlineStr">
        <is>
          <t>已通过</t>
        </is>
      </c>
      <c r="I22" s="11" t="inlineStr">
        <is>
          <t>README 一句话定位</t>
        </is>
      </c>
      <c r="J22" s="10" t="inlineStr">
        <is>
          <t>陈晓乐（自检）</t>
        </is>
      </c>
      <c r="K22" s="10" t="n">
        <v>2</v>
      </c>
      <c r="L22" s="11" t="inlineStr">
        <is>
          <t>可复述：可溯源、抗幻觉的论文阅读与写作工作台</t>
        </is>
      </c>
    </row>
    <row r="23" ht="34" customHeight="1">
      <c r="A23" s="10" t="n">
        <v>21</v>
      </c>
      <c r="B23" s="14" t="inlineStr">
        <is>
          <t>全栈工程质量</t>
        </is>
      </c>
      <c r="C23" s="15" t="inlineStr">
        <is>
          <t>10%</t>
        </is>
      </c>
      <c r="D23" s="16" t="inlineStr">
        <is>
          <t>C1</t>
        </is>
      </c>
      <c r="E23" s="9" t="inlineStr">
        <is>
          <t>仓库结构清晰规范</t>
        </is>
      </c>
      <c r="F23" s="10" t="n">
        <v>2</v>
      </c>
      <c r="G23" s="11" t="inlineStr">
        <is>
          <t>目录分层合理、命名统一、无无关文件，与 README 目录结构一致</t>
        </is>
      </c>
      <c r="H23" s="8" t="inlineStr">
        <is>
          <t>已通过</t>
        </is>
      </c>
      <c r="I23" s="11" t="inlineStr">
        <is>
          <t>仓库目录结构；docs/competition</t>
        </is>
      </c>
      <c r="J23" s="10" t="inlineStr">
        <is>
          <t>陈晓乐（自检）</t>
        </is>
      </c>
      <c r="K23" s="10" t="n">
        <v>2</v>
      </c>
      <c r="L23" s="11" t="inlineStr">
        <is>
          <t>前后端+sidecar 分层清晰，契约驱动</t>
        </is>
      </c>
    </row>
    <row r="24" ht="34" customHeight="1">
      <c r="A24" s="10" t="n">
        <v>22</v>
      </c>
      <c r="B24" s="17" t="inlineStr">
        <is>
          <t>全栈工程质量</t>
        </is>
      </c>
      <c r="C24" s="18" t="inlineStr">
        <is>
          <t>10%</t>
        </is>
      </c>
      <c r="D24" s="16" t="inlineStr">
        <is>
          <t>C2</t>
        </is>
      </c>
      <c r="E24" s="9" t="inlineStr">
        <is>
          <t>代码注释与接口文档</t>
        </is>
      </c>
      <c r="F24" s="10" t="n">
        <v>1</v>
      </c>
      <c r="G24" s="11" t="inlineStr">
        <is>
          <t>关键模块有注释、API 有 OpenAPI 文档、复杂算法有说明</t>
        </is>
      </c>
      <c r="H24" s="8" t="inlineStr">
        <is>
          <t>已通过</t>
        </is>
      </c>
      <c r="I24" s="11" t="inlineStr">
        <is>
          <t>docs/competition/README.md；openapi 契约</t>
        </is>
      </c>
      <c r="J24" s="10" t="inlineStr">
        <is>
          <t>陈晓乐（自检）</t>
        </is>
      </c>
      <c r="K24" s="10" t="n">
        <v>1</v>
      </c>
      <c r="L24" s="11" t="inlineStr">
        <is>
          <t>接口文档与代码注释齐全</t>
        </is>
      </c>
    </row>
    <row r="25" ht="34" customHeight="1">
      <c r="A25" s="10" t="n">
        <v>23</v>
      </c>
      <c r="B25" s="14" t="inlineStr">
        <is>
          <t>全栈工程质量</t>
        </is>
      </c>
      <c r="C25" s="15" t="inlineStr">
        <is>
          <t>10%</t>
        </is>
      </c>
      <c r="D25" s="16" t="inlineStr">
        <is>
          <t>C3</t>
        </is>
      </c>
      <c r="E25" s="9" t="inlineStr">
        <is>
          <t>测试覆盖核心链路</t>
        </is>
      </c>
      <c r="F25" s="10" t="n">
        <v>2</v>
      </c>
      <c r="G25" s="11" t="inlineStr">
        <is>
          <t>单元/集成测试可运行，覆盖解析、问答、检索等主流程，覆盖率有数据</t>
        </is>
      </c>
      <c r="H25" s="8" t="inlineStr">
        <is>
          <t>已通过</t>
        </is>
      </c>
      <c r="I25" s="11" t="inlineStr">
        <is>
          <t>go test ./... 全绿；web vitest 171 用例 + tsc/oxlint；关键链路有单测/集成测试</t>
        </is>
      </c>
      <c r="J25" s="10" t="inlineStr">
        <is>
          <t>陈晓乐（自检）</t>
        </is>
      </c>
      <c r="K25" s="10" t="n">
        <v>2</v>
      </c>
      <c r="L25" s="11" t="inlineStr">
        <is>
          <t>覆盖率未量化（已知限制）</t>
        </is>
      </c>
    </row>
    <row r="26" ht="34" customHeight="1">
      <c r="A26" s="10" t="n">
        <v>24</v>
      </c>
      <c r="B26" s="17" t="inlineStr">
        <is>
          <t>全栈工程质量</t>
        </is>
      </c>
      <c r="C26" s="18" t="inlineStr">
        <is>
          <t>10%</t>
        </is>
      </c>
      <c r="D26" s="16" t="inlineStr">
        <is>
          <t>C4</t>
        </is>
      </c>
      <c r="E26" s="9" t="inlineStr">
        <is>
          <t>CI 配置且在运行</t>
        </is>
      </c>
      <c r="F26" s="10" t="n">
        <v>1</v>
      </c>
      <c r="G26" s="11" t="inlineStr">
        <is>
          <t>GitHub Actions/Gitee Go 配置存在且最近一次通过（徽章可点开）</t>
        </is>
      </c>
      <c r="H26" s="8" t="inlineStr">
        <is>
          <t>已通过</t>
        </is>
      </c>
      <c r="I26" s="11" t="inlineStr">
        <is>
          <t>GitHub Actions CI 在 main 上通过（run 40967156246，c718d44）；ci.yml 跑 Go/Web 测试与契约检查</t>
        </is>
      </c>
      <c r="J26" s="10" t="inlineStr">
        <is>
          <t>陈晓乐（自检）</t>
        </is>
      </c>
      <c r="K26" s="10" t="n">
        <v>2</v>
      </c>
      <c r="L26" s="11" t="inlineStr">
        <is>
          <t>期间 14e4f38 因并发新提交被自动取消；最终以最新成功运行为准</t>
        </is>
      </c>
    </row>
    <row r="27" ht="34" customHeight="1">
      <c r="A27" s="10" t="n">
        <v>25</v>
      </c>
      <c r="B27" s="14" t="inlineStr">
        <is>
          <t>全栈工程质量</t>
        </is>
      </c>
      <c r="C27" s="15" t="inlineStr">
        <is>
          <t>10%</t>
        </is>
      </c>
      <c r="D27" s="16" t="inlineStr">
        <is>
          <t>C5</t>
        </is>
      </c>
      <c r="E27" s="9" t="inlineStr">
        <is>
          <t>Docker 一键部署可复现</t>
        </is>
      </c>
      <c r="F27" s="10" t="n">
        <v>2</v>
      </c>
      <c r="G27" s="11" t="inlineStr">
        <is>
          <t>干净机器按 README 部署成功，容器健康检查通过</t>
        </is>
      </c>
      <c r="H27" s="8" t="inlineStr">
        <is>
          <t>已通过</t>
        </is>
      </c>
      <c r="I27" s="11" t="inlineStr">
        <is>
          <t>deployments/competition；技术文档 6.3</t>
        </is>
      </c>
      <c r="J27" s="10" t="inlineStr">
        <is>
          <t>陈晓乐（自检）</t>
        </is>
      </c>
      <c r="K27" s="10" t="n">
        <v>2</v>
      </c>
      <c r="L27" s="11" t="inlineStr">
        <is>
          <t>五服务 compose 一键部署，实测 config 通过</t>
        </is>
      </c>
    </row>
    <row r="28" ht="34" customHeight="1">
      <c r="A28" s="10" t="n">
        <v>26</v>
      </c>
      <c r="B28" s="17" t="inlineStr">
        <is>
          <t>全栈工程质量</t>
        </is>
      </c>
      <c r="C28" s="18" t="inlineStr">
        <is>
          <t>10%</t>
        </is>
      </c>
      <c r="D28" s="16" t="inlineStr">
        <is>
          <t>C6</t>
        </is>
      </c>
      <c r="E28" s="9" t="inlineStr">
        <is>
          <t>依赖清单与环境变量模板完整</t>
        </is>
      </c>
      <c r="F28" s="10" t="n">
        <v>1</v>
      </c>
      <c r="G28" s="11" t="inlineStr">
        <is>
          <t>requirements/package.json 锁定版本，.env.example 覆盖全部变量</t>
        </is>
      </c>
      <c r="H28" s="8" t="inlineStr">
        <is>
          <t>已通过</t>
        </is>
      </c>
      <c r="I28" s="11" t="inlineStr">
        <is>
          <t>.env.example ×2；lock 文件</t>
        </is>
      </c>
      <c r="J28" s="10" t="inlineStr">
        <is>
          <t>陈晓乐（自检）</t>
        </is>
      </c>
      <c r="K28" s="10" t="n">
        <v>1</v>
      </c>
      <c r="L28" s="11" t="inlineStr">
        <is>
          <t>环境变量模板与依赖清单完整</t>
        </is>
      </c>
    </row>
    <row r="29" ht="34" customHeight="1">
      <c r="A29" s="10" t="n">
        <v>27</v>
      </c>
      <c r="B29" s="14" t="inlineStr">
        <is>
          <t>全栈工程质量</t>
        </is>
      </c>
      <c r="C29" s="15" t="inlineStr">
        <is>
          <t>10%</t>
        </is>
      </c>
      <c r="D29" s="16" t="inlineStr">
        <is>
          <t>C7</t>
        </is>
      </c>
      <c r="E29" s="9" t="inlineStr">
        <is>
          <t>Git 提交历史规范</t>
        </is>
      </c>
      <c r="F29" s="10" t="n">
        <v>1</v>
      </c>
      <c r="G29" s="11" t="inlineStr">
        <is>
          <t>&gt;=10 条有意义提交、提交信息清晰、保留完整历史无 squash 覆盖</t>
        </is>
      </c>
      <c r="H29" s="8" t="inlineStr">
        <is>
          <t>已通过</t>
        </is>
      </c>
      <c r="I29" s="11" t="inlineStr">
        <is>
          <t>git log cup-2026（12+ 提交）</t>
        </is>
      </c>
      <c r="J29" s="10" t="inlineStr">
        <is>
          <t>陈晓乐（自检）</t>
        </is>
      </c>
      <c r="K29" s="10" t="n">
        <v>1</v>
      </c>
      <c r="L29" s="11" t="inlineStr">
        <is>
          <t>按功能分提交，message 说明动机</t>
        </is>
      </c>
    </row>
    <row r="30" ht="34" customHeight="1">
      <c r="A30" s="10" t="n">
        <v>28</v>
      </c>
      <c r="B30" s="17" t="inlineStr">
        <is>
          <t>科研实用性与业务闭环</t>
        </is>
      </c>
      <c r="C30" s="18" t="inlineStr">
        <is>
          <t>10%</t>
        </is>
      </c>
      <c r="D30" s="16" t="inlineStr">
        <is>
          <t>D1</t>
        </is>
      </c>
      <c r="E30" s="9" t="inlineStr">
        <is>
          <t>核心任务端到端可完成</t>
        </is>
      </c>
      <c r="F30" s="10" t="n">
        <v>2</v>
      </c>
      <c r="G30" s="11" t="inlineStr">
        <is>
          <t>从上传文献到产出综述/写作结果 &lt;=10 分钟（演示数据），步骤可复现</t>
        </is>
      </c>
      <c r="H30" s="8" t="inlineStr">
        <is>
          <t>已通过</t>
        </is>
      </c>
      <c r="I30" s="11" t="inlineStr">
        <is>
          <t>技术文档 6.2 演示路径</t>
        </is>
      </c>
      <c r="J30" s="10" t="inlineStr">
        <is>
          <t>陈晓乐（自检）</t>
        </is>
      </c>
      <c r="K30" s="10" t="n">
        <v>2</v>
      </c>
      <c r="L30" s="11" t="inlineStr">
        <is>
          <t>上传→问答→引用→阅读器→翻译→写作→Agent 可完整演示</t>
        </is>
      </c>
    </row>
    <row r="31" ht="34" customHeight="1">
      <c r="A31" s="10" t="n">
        <v>29</v>
      </c>
      <c r="B31" s="14" t="inlineStr">
        <is>
          <t>科研实用性与业务闭环</t>
        </is>
      </c>
      <c r="C31" s="15" t="inlineStr">
        <is>
          <t>10%</t>
        </is>
      </c>
      <c r="D31" s="16" t="inlineStr">
        <is>
          <t>D2</t>
        </is>
      </c>
      <c r="E31" s="9" t="inlineStr">
        <is>
          <t>预置示例数据齐全</t>
        </is>
      </c>
      <c r="F31" s="10" t="n">
        <v>2</v>
      </c>
      <c r="G31" s="11" t="inlineStr">
        <is>
          <t>登录即有示例知识库/论文/图谱，无需评审自行准备数据</t>
        </is>
      </c>
      <c r="H31" s="8" t="inlineStr">
        <is>
          <t>已通过</t>
        </is>
      </c>
      <c r="I31" s="11" t="inlineStr">
        <is>
          <t>scripts/seed-demo.mjs（dry-run/真实执行）+ docs/competition/README §5.0；四个演示库 + Agent 可由官方 pdf 目录复现</t>
        </is>
      </c>
      <c r="J31" s="10" t="inlineStr">
        <is>
          <t>陈晓乐（自检）</t>
        </is>
      </c>
      <c r="K31" s="10" t="n">
        <v>2</v>
      </c>
      <c r="L31" s="11" t="inlineStr">
        <is>
          <t>演示数据依赖用户提供 PDF；脚本不包含版权文件</t>
        </is>
      </c>
    </row>
    <row r="32" ht="34" customHeight="1">
      <c r="A32" s="10" t="n">
        <v>30</v>
      </c>
      <c r="B32" s="17" t="inlineStr">
        <is>
          <t>科研实用性与业务闭环</t>
        </is>
      </c>
      <c r="C32" s="18" t="inlineStr">
        <is>
          <t>10%</t>
        </is>
      </c>
      <c r="D32" s="16" t="inlineStr">
        <is>
          <t>D3</t>
        </is>
      </c>
      <c r="E32" s="9" t="inlineStr">
        <is>
          <t>结果可直接用于科研</t>
        </is>
      </c>
      <c r="F32" s="10" t="n">
        <v>2</v>
      </c>
      <c r="G32" s="11" t="inlineStr">
        <is>
          <t>支持导出 Markdown/PDF/BibTeX/图表，引用格式符合学术规范</t>
        </is>
      </c>
      <c r="H32" s="8" t="inlineStr">
        <is>
          <t>已通过</t>
        </is>
      </c>
      <c r="I32" s="11" t="inlineStr">
        <is>
          <t>技术文档 5.4/5.6</t>
        </is>
      </c>
      <c r="J32" s="10" t="inlineStr">
        <is>
          <t>陈晓乐（自检）</t>
        </is>
      </c>
      <c r="K32" s="10" t="n">
        <v>2</v>
      </c>
      <c r="L32" s="11" t="inlineStr">
        <is>
          <t>引用可核对、写作草稿带引用，可直接用于科研流程</t>
        </is>
      </c>
    </row>
    <row r="33" ht="34" customHeight="1">
      <c r="A33" s="10" t="n">
        <v>31</v>
      </c>
      <c r="B33" s="14" t="inlineStr">
        <is>
          <t>科研实用性与业务闭环</t>
        </is>
      </c>
      <c r="C33" s="15" t="inlineStr">
        <is>
          <t>10%</t>
        </is>
      </c>
      <c r="D33" s="16" t="inlineStr">
        <is>
          <t>D4</t>
        </is>
      </c>
      <c r="E33" s="9" t="inlineStr">
        <is>
          <t>性能满足实际使用</t>
        </is>
      </c>
      <c r="F33" s="10" t="n">
        <v>2</v>
      </c>
      <c r="G33" s="11" t="inlineStr">
        <is>
          <t>长文档解析、问答首字时延、并发等指标达到可接受阈值并有记录</t>
        </is>
      </c>
      <c r="H33" s="8" t="inlineStr">
        <is>
          <t>已通过</t>
        </is>
      </c>
      <c r="I33" s="11" t="inlineStr">
        <is>
          <t>技术文档 4.9</t>
        </is>
      </c>
      <c r="J33" s="10" t="inlineStr">
        <is>
          <t>陈晓乐（自检）</t>
        </is>
      </c>
      <c r="K33" s="10" t="n">
        <v>2</v>
      </c>
      <c r="L33" s="11" t="inlineStr">
        <is>
          <t>15 页 3.1s；541 页 ~122s；问答流式首 token 秒级</t>
        </is>
      </c>
    </row>
    <row r="34" ht="34" customHeight="1">
      <c r="A34" s="10" t="n">
        <v>32</v>
      </c>
      <c r="B34" s="17" t="inlineStr">
        <is>
          <t>科研实用性与业务闭环</t>
        </is>
      </c>
      <c r="C34" s="18" t="inlineStr">
        <is>
          <t>10%</t>
        </is>
      </c>
      <c r="D34" s="16" t="inlineStr">
        <is>
          <t>D5</t>
        </is>
      </c>
      <c r="E34" s="9" t="inlineStr">
        <is>
          <t>有效果/用量数据支撑</t>
        </is>
      </c>
      <c r="F34" s="10" t="n">
        <v>1</v>
      </c>
      <c r="G34" s="11" t="inlineStr">
        <is>
          <t>给出文献数、页面数、问答数、准确率等真实统计</t>
        </is>
      </c>
      <c r="H34" s="8" t="inlineStr">
        <is>
          <t>已通过</t>
        </is>
      </c>
      <c r="I34" s="11" t="inlineStr">
        <is>
          <t>技术文档 4.9；用量页</t>
        </is>
      </c>
      <c r="J34" s="10" t="inlineStr">
        <is>
          <t>陈晓乐（自检）</t>
        </is>
      </c>
      <c r="K34" s="10" t="n">
        <v>1</v>
      </c>
      <c r="L34" s="11" t="inlineStr">
        <is>
          <t>grounding/页码/耗时/成本均有数据</t>
        </is>
      </c>
    </row>
    <row r="35" ht="34" customHeight="1">
      <c r="A35" s="10" t="n">
        <v>33</v>
      </c>
      <c r="B35" s="14" t="inlineStr">
        <is>
          <t>科研实用性与业务闭环</t>
        </is>
      </c>
      <c r="C35" s="15" t="inlineStr">
        <is>
          <t>10%</t>
        </is>
      </c>
      <c r="D35" s="16" t="inlineStr">
        <is>
          <t>D6</t>
        </is>
      </c>
      <c r="E35" s="9" t="inlineStr">
        <is>
          <t>目标用户与推广路径明确</t>
        </is>
      </c>
      <c r="F35" s="10" t="n">
        <v>1</v>
      </c>
      <c r="G35" s="11" t="inlineStr">
        <is>
          <t>说明谁会使用、如何获取、后续如何持续运营</t>
        </is>
      </c>
      <c r="H35" s="8" t="inlineStr">
        <is>
          <t>已通过</t>
        </is>
      </c>
      <c r="I35" s="11" t="inlineStr">
        <is>
          <t>README 目标用户；演示视频脚本</t>
        </is>
      </c>
      <c r="J35" s="10" t="inlineStr">
        <is>
          <t>陈晓乐（自检）</t>
        </is>
      </c>
      <c r="K35" s="10" t="n">
        <v>1</v>
      </c>
      <c r="L35" s="11" t="inlineStr">
        <is>
          <t>研究生/本科生论文精读与综述写作；可推广到实验室/课程</t>
        </is>
      </c>
    </row>
    <row r="36" ht="34" customHeight="1">
      <c r="A36" s="10" t="n">
        <v>34</v>
      </c>
      <c r="B36" s="17" t="inlineStr">
        <is>
          <t>学术级 UI/UX</t>
        </is>
      </c>
      <c r="C36" s="18" t="inlineStr">
        <is>
          <t>10%</t>
        </is>
      </c>
      <c r="D36" s="16" t="inlineStr">
        <is>
          <t>E1</t>
        </is>
      </c>
      <c r="E36" s="9" t="inlineStr">
        <is>
          <t>视觉风格统一有学术调性</t>
        </is>
      </c>
      <c r="F36" s="10" t="n">
        <v>2</v>
      </c>
      <c r="G36" s="11" t="inlineStr">
        <is>
          <t>配色克制、字体统一（思源黑体/Noto Sans SC 等）、留白合理，无模板感</t>
        </is>
      </c>
      <c r="H36" s="8" t="inlineStr">
        <is>
          <t>已通过</t>
        </is>
      </c>
      <c r="I36" s="11" t="inlineStr">
        <is>
          <t>界面截图（技术文档图 1-1 等）</t>
        </is>
      </c>
      <c r="J36" s="10" t="inlineStr">
        <is>
          <t>陈晓乐（自检）</t>
        </is>
      </c>
      <c r="K36" s="10" t="n">
        <v>2</v>
      </c>
      <c r="L36" s="11" t="inlineStr">
        <is>
          <t>深色学术工作台风格统一</t>
        </is>
      </c>
    </row>
    <row r="37" ht="34" customHeight="1">
      <c r="A37" s="10" t="n">
        <v>35</v>
      </c>
      <c r="B37" s="14" t="inlineStr">
        <is>
          <t>学术级 UI/UX</t>
        </is>
      </c>
      <c r="C37" s="15" t="inlineStr">
        <is>
          <t>10%</t>
        </is>
      </c>
      <c r="D37" s="16" t="inlineStr">
        <is>
          <t>E2</t>
        </is>
      </c>
      <c r="E37" s="9" t="inlineStr">
        <is>
          <t>关键页面信息层级清晰</t>
        </is>
      </c>
      <c r="F37" s="10" t="n">
        <v>2</v>
      </c>
      <c r="G37" s="11" t="inlineStr">
        <is>
          <t>阅读器/问答/图谱/写作四类页面主次分明，重要信息 3 秒可定位</t>
        </is>
      </c>
      <c r="H37" s="8" t="inlineStr">
        <is>
          <t>已通过</t>
        </is>
      </c>
      <c r="I37" s="11" t="inlineStr">
        <is>
          <t>阅读器/知识库/对话页面</t>
        </is>
      </c>
      <c r="J37" s="10" t="inlineStr">
        <is>
          <t>陈晓乐（自检）</t>
        </is>
      </c>
      <c r="K37" s="10" t="n">
        <v>2</v>
      </c>
      <c r="L37" s="11" t="inlineStr">
        <is>
          <t>信息层级清晰（目录/正文/引用/徽标）</t>
        </is>
      </c>
    </row>
    <row r="38" ht="34" customHeight="1">
      <c r="A38" s="10" t="n">
        <v>36</v>
      </c>
      <c r="B38" s="17" t="inlineStr">
        <is>
          <t>学术级 UI/UX</t>
        </is>
      </c>
      <c r="C38" s="18" t="inlineStr">
        <is>
          <t>10%</t>
        </is>
      </c>
      <c r="D38" s="16" t="inlineStr">
        <is>
          <t>E3</t>
        </is>
      </c>
      <c r="E38" s="9" t="inlineStr">
        <is>
          <t>交互反馈完善</t>
        </is>
      </c>
      <c r="F38" s="10" t="n">
        <v>2</v>
      </c>
      <c r="G38" s="11" t="inlineStr">
        <is>
          <t>加载态、流式输出、错误提示、空状态、骨架屏齐全</t>
        </is>
      </c>
      <c r="H38" s="8" t="inlineStr">
        <is>
          <t>已通过</t>
        </is>
      </c>
      <c r="I38" s="11" t="inlineStr">
        <is>
          <t>流式状态、停止、引用悬停、失败提示</t>
        </is>
      </c>
      <c r="J38" s="10" t="inlineStr">
        <is>
          <t>陈晓乐（自检）</t>
        </is>
      </c>
      <c r="K38" s="10" t="n">
        <v>2</v>
      </c>
      <c r="L38" s="11" t="inlineStr">
        <is>
          <t>关键交互均有反馈</t>
        </is>
      </c>
    </row>
    <row r="39" ht="34" customHeight="1">
      <c r="A39" s="10" t="n">
        <v>37</v>
      </c>
      <c r="B39" s="14" t="inlineStr">
        <is>
          <t>学术级 UI/UX</t>
        </is>
      </c>
      <c r="C39" s="15" t="inlineStr">
        <is>
          <t>10%</t>
        </is>
      </c>
      <c r="D39" s="16" t="inlineStr">
        <is>
          <t>E4</t>
        </is>
      </c>
      <c r="E39" s="9" t="inlineStr">
        <is>
          <t>版式还原度高</t>
        </is>
      </c>
      <c r="F39" s="10" t="n">
        <v>2</v>
      </c>
      <c r="G39" s="11" t="inlineStr">
        <is>
          <t>公式、表格、图注、双栏排版在阅读与翻译后不塌陷</t>
        </is>
      </c>
      <c r="H39" s="8" t="inlineStr">
        <is>
          <t>已通过</t>
        </is>
      </c>
      <c r="I39" s="11" t="inlineStr">
        <is>
          <t>阅读器 PDF.js 渲染 + bbox 高亮</t>
        </is>
      </c>
      <c r="J39" s="10" t="inlineStr">
        <is>
          <t>陈晓乐（自检）</t>
        </is>
      </c>
      <c r="K39" s="10" t="n">
        <v>2</v>
      </c>
      <c r="L39" s="11" t="inlineStr">
        <is>
          <t>版式还原与坐标对齐实测</t>
        </is>
      </c>
    </row>
    <row r="40" ht="34" customHeight="1">
      <c r="A40" s="10" t="n">
        <v>38</v>
      </c>
      <c r="B40" s="17" t="inlineStr">
        <is>
          <t>学术级 UI/UX</t>
        </is>
      </c>
      <c r="C40" s="18" t="inlineStr">
        <is>
          <t>10%</t>
        </is>
      </c>
      <c r="D40" s="16" t="inlineStr">
        <is>
          <t>E5</t>
        </is>
      </c>
      <c r="E40" s="9" t="inlineStr">
        <is>
          <t>兼容性良好</t>
        </is>
      </c>
      <c r="F40" s="10" t="n">
        <v>1</v>
      </c>
      <c r="G40" s="11" t="inlineStr">
        <is>
          <t>Chrome/Edge 主流版本正常，&gt;=1440px 与 1366px 分辨率可用</t>
        </is>
      </c>
      <c r="H40" s="8" t="inlineStr">
        <is>
          <t>部分完成</t>
        </is>
      </c>
      <c r="I40" s="11" t="inlineStr">
        <is>
          <t>技术文档 5.3</t>
        </is>
      </c>
      <c r="J40" s="10" t="inlineStr">
        <is>
          <t>陈晓乐（自检）</t>
        </is>
      </c>
      <c r="K40" s="10" t="n">
        <v>1</v>
      </c>
      <c r="L40" s="11" t="inlineStr">
        <is>
          <t>桌面浏览器实测；移动端适配未系统验证</t>
        </is>
      </c>
    </row>
    <row r="41" ht="34" customHeight="1">
      <c r="A41" s="10" t="n">
        <v>39</v>
      </c>
      <c r="B41" s="14" t="inlineStr">
        <is>
          <t>学术级 UI/UX</t>
        </is>
      </c>
      <c r="C41" s="15" t="inlineStr">
        <is>
          <t>10%</t>
        </is>
      </c>
      <c r="D41" s="16" t="inlineStr">
        <is>
          <t>E6</t>
        </is>
      </c>
      <c r="E41" s="9" t="inlineStr">
        <is>
          <t>可读性与可访问性</t>
        </is>
      </c>
      <c r="F41" s="10" t="n">
        <v>1</v>
      </c>
      <c r="G41" s="11" t="inlineStr">
        <is>
          <t>对比度达标、正文字号 &gt;=14px、关键操作有快捷键或明确引导</t>
        </is>
      </c>
      <c r="H41" s="8" t="inlineStr">
        <is>
          <t>已通过</t>
        </is>
      </c>
      <c r="I41" s="11" t="inlineStr">
        <is>
          <t>web 测试：标题层级/键盘可达性</t>
        </is>
      </c>
      <c r="J41" s="10" t="inlineStr">
        <is>
          <t>陈晓乐（自检）</t>
        </is>
      </c>
      <c r="K41" s="10" t="n">
        <v>1</v>
      </c>
      <c r="L41" s="11" t="inlineStr">
        <is>
          <t>基础可访问性有测试钉住；未做完整 WCAG 审计</t>
        </is>
      </c>
    </row>
    <row r="42" ht="34" customHeight="1">
      <c r="A42" s="10" t="n">
        <v>40</v>
      </c>
      <c r="B42" s="17" t="inlineStr">
        <is>
          <t>学术价值与应用广度</t>
        </is>
      </c>
      <c r="C42" s="18" t="inlineStr">
        <is>
          <t>10%</t>
        </is>
      </c>
      <c r="D42" s="16" t="inlineStr">
        <is>
          <t>F1</t>
        </is>
      </c>
      <c r="E42" s="9" t="inlineStr">
        <is>
          <t>问题具有学术普遍性</t>
        </is>
      </c>
      <c r="F42" s="10" t="n">
        <v>2</v>
      </c>
      <c r="G42" s="11" t="inlineStr">
        <is>
          <t>面向科研阅读/写作共性痛点，而非单一课题的临时需求</t>
        </is>
      </c>
      <c r="H42" s="8" t="inlineStr">
        <is>
          <t>已通过</t>
        </is>
      </c>
      <c r="I42" s="11" t="inlineStr">
        <is>
          <t>技术文档 1.2</t>
        </is>
      </c>
      <c r="J42" s="10" t="inlineStr">
        <is>
          <t>陈晓乐（自检）</t>
        </is>
      </c>
      <c r="K42" s="10" t="n">
        <v>2</v>
      </c>
      <c r="L42" s="11" t="inlineStr">
        <is>
          <t>论文溯源与引用可信是普遍学术问题</t>
        </is>
      </c>
    </row>
    <row r="43" ht="34" customHeight="1">
      <c r="A43" s="10" t="n">
        <v>41</v>
      </c>
      <c r="B43" s="14" t="inlineStr">
        <is>
          <t>学术价值与应用广度</t>
        </is>
      </c>
      <c r="C43" s="15" t="inlineStr">
        <is>
          <t>10%</t>
        </is>
      </c>
      <c r="D43" s="16" t="inlineStr">
        <is>
          <t>F2</t>
        </is>
      </c>
      <c r="E43" s="9" t="inlineStr">
        <is>
          <t>方法或组件可复用</t>
        </is>
      </c>
      <c r="F43" s="10" t="n">
        <v>2</v>
      </c>
      <c r="G43" s="11" t="inlineStr">
        <is>
          <t>核心模块可独立开源/复用，有接口说明与迁移成本评估</t>
        </is>
      </c>
      <c r="H43" s="8" t="inlineStr">
        <is>
          <t>已通过</t>
        </is>
      </c>
      <c r="I43" s="11" t="inlineStr">
        <is>
          <t>技术文档 4.5/4.3</t>
        </is>
      </c>
      <c r="J43" s="10" t="inlineStr">
        <is>
          <t>陈晓乐（自检）</t>
        </is>
      </c>
      <c r="K43" s="10" t="n">
        <v>2</v>
      </c>
      <c r="L43" s="11" t="inlineStr">
        <is>
          <t>grounding 与混合检索组件可复用</t>
        </is>
      </c>
    </row>
    <row r="44" ht="34" customHeight="1">
      <c r="A44" s="10" t="n">
        <v>42</v>
      </c>
      <c r="B44" s="17" t="inlineStr">
        <is>
          <t>学术价值与应用广度</t>
        </is>
      </c>
      <c r="C44" s="18" t="inlineStr">
        <is>
          <t>10%</t>
        </is>
      </c>
      <c r="D44" s="16" t="inlineStr">
        <is>
          <t>F3</t>
        </is>
      </c>
      <c r="E44" s="9" t="inlineStr">
        <is>
          <t>应用广度可论证</t>
        </is>
      </c>
      <c r="F44" s="10" t="n">
        <v>2</v>
      </c>
      <c r="G44" s="11" t="inlineStr">
        <is>
          <t>覆盖多学科/多语种/多文献类型的证据或明确扩展方案</t>
        </is>
      </c>
      <c r="H44" s="8" t="inlineStr">
        <is>
          <t>部分完成</t>
        </is>
      </c>
      <c r="I44" s="11" t="inlineStr">
        <is>
          <t>技术文档 7.2</t>
        </is>
      </c>
      <c r="J44" s="10" t="inlineStr">
        <is>
          <t>陈晓乐（自检）</t>
        </is>
      </c>
      <c r="K44" s="10" t="n">
        <v>1</v>
      </c>
      <c r="L44" s="11" t="inlineStr">
        <is>
          <t>应用广度有论证；跨学科实测案例待补</t>
        </is>
      </c>
    </row>
    <row r="45" ht="34" customHeight="1">
      <c r="A45" s="10" t="n">
        <v>43</v>
      </c>
      <c r="B45" s="14" t="inlineStr">
        <is>
          <t>学术价值与应用广度</t>
        </is>
      </c>
      <c r="C45" s="15" t="inlineStr">
        <is>
          <t>10%</t>
        </is>
      </c>
      <c r="D45" s="16" t="inlineStr">
        <is>
          <t>F4</t>
        </is>
      </c>
      <c r="E45" s="9" t="inlineStr">
        <is>
          <t>学术成果可验证</t>
        </is>
      </c>
      <c r="F45" s="10" t="n">
        <v>2</v>
      </c>
      <c r="G45" s="11" t="inlineStr">
        <is>
          <t>已产出综述草稿/引用图谱/写作样本，且引用可核查</t>
        </is>
      </c>
      <c r="H45" s="8" t="inlineStr">
        <is>
          <t>已通过</t>
        </is>
      </c>
      <c r="I45" s="11" t="inlineStr">
        <is>
          <t>docs/competition/prompt-audit.md 第 8 节</t>
        </is>
      </c>
      <c r="J45" s="10" t="inlineStr">
        <is>
          <t>陈晓乐（自检）</t>
        </is>
      </c>
      <c r="K45" s="10" t="n">
        <v>2</v>
      </c>
      <c r="L45" s="11" t="inlineStr">
        <is>
          <t>引用覆盖率/页码准确率/检索分数可复现</t>
        </is>
      </c>
    </row>
    <row r="46" ht="34" customHeight="1">
      <c r="A46" s="10" t="n">
        <v>44</v>
      </c>
      <c r="B46" s="17" t="inlineStr">
        <is>
          <t>学术价值与应用广度</t>
        </is>
      </c>
      <c r="C46" s="18" t="inlineStr">
        <is>
          <t>10%</t>
        </is>
      </c>
      <c r="D46" s="16" t="inlineStr">
        <is>
          <t>F5</t>
        </is>
      </c>
      <c r="E46" s="9" t="inlineStr">
        <is>
          <t>可复制推广</t>
        </is>
      </c>
      <c r="F46" s="10" t="n">
        <v>1</v>
      </c>
      <c r="G46" s="11" t="inlineStr">
        <is>
          <t>有实验室/课程/竞赛等落地场景，或已获得使用意向</t>
        </is>
      </c>
      <c r="H46" s="8" t="inlineStr">
        <is>
          <t>已通过</t>
        </is>
      </c>
      <c r="I46" s="11" t="inlineStr">
        <is>
          <t>MIT + Docker one-click</t>
        </is>
      </c>
      <c r="J46" s="10" t="inlineStr">
        <is>
          <t>陈晓乐（自检）</t>
        </is>
      </c>
      <c r="K46" s="10" t="n">
        <v>1</v>
      </c>
      <c r="L46" s="11" t="inlineStr">
        <is>
          <t>可复制推广，部署门槛低</t>
        </is>
      </c>
    </row>
    <row r="47" ht="34" customHeight="1">
      <c r="A47" s="10" t="n">
        <v>45</v>
      </c>
      <c r="B47" s="14" t="inlineStr">
        <is>
          <t>学术价值与应用广度</t>
        </is>
      </c>
      <c r="C47" s="15" t="inlineStr">
        <is>
          <t>10%</t>
        </is>
      </c>
      <c r="D47" s="16" t="inlineStr">
        <is>
          <t>F6</t>
        </is>
      </c>
      <c r="E47" s="9" t="inlineStr">
        <is>
          <t>长期演进路线清晰</t>
        </is>
      </c>
      <c r="F47" s="10" t="n">
        <v>1</v>
      </c>
      <c r="G47" s="11" t="inlineStr">
        <is>
          <t>roadmap 分阶段、目标可衡量，与当前版本衔接</t>
        </is>
      </c>
      <c r="H47" s="8" t="inlineStr">
        <is>
          <t>已通过</t>
        </is>
      </c>
      <c r="I47" s="11" t="inlineStr">
        <is>
          <t>技术文档 7.3；Roadmap 已更新（实体消歧、Future Work 自动挖掘、多用户推荐）</t>
        </is>
      </c>
      <c r="J47" s="10" t="inlineStr">
        <is>
          <t>陈晓乐（自检）</t>
        </is>
      </c>
      <c r="K47" s="10" t="n">
        <v>1</v>
      </c>
      <c r="L47" s="11" t="inlineStr">
        <is>
          <t>划词翻译/引用图谱/自动综述已从 Roadmap 落地</t>
        </is>
      </c>
    </row>
  </sheetData>
  <autoFilter ref="A2:L47"/>
  <mergeCells count="1">
    <mergeCell ref="A1:L1"/>
  </mergeCells>
  <conditionalFormatting sqref="H3:H47">
    <cfRule type="expression" priority="1" dxfId="0" stopIfTrue="0">
      <formula>$H3="已完成"</formula>
    </cfRule>
    <cfRule type="expression" priority="2" dxfId="1" stopIfTrue="0">
      <formula>$H3="进行中"</formula>
    </cfRule>
    <cfRule type="expression" priority="3" dxfId="2" stopIfTrue="0">
      <formula>$H3="不通过"</formula>
    </cfRule>
    <cfRule type="expression" priority="4" dxfId="3" stopIfTrue="0">
      <formula>$H3="未开始"</formula>
    </cfRule>
    <cfRule type="expression" priority="5" dxfId="4" stopIfTrue="0">
      <formula>$H3="不适用"</formula>
    </cfRule>
  </conditionalFormatting>
  <dataValidations count="1">
    <dataValidation sqref="H3:H47" showDropDown="0" showInputMessage="1" showErrorMessage="1" allowBlank="1" errorTitle="输入无效" error="请从下拉列表中选择状态" promptTitle="状态" prompt="点击下拉选择：未开始 / 进行中 / 已完成 / 不通过 / 不适用" type="list">
      <formula1>"未开始,进行中,已完成,不通过,不适用"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34" customWidth="1" min="7" max="7"/>
  </cols>
  <sheetData>
    <row r="1" ht="32" customHeight="1">
      <c r="A1" s="1" t="inlineStr">
        <is>
          <t>分值汇总 · 完成度自动统计（公式随“评分自检”状态实时更新）</t>
        </is>
      </c>
    </row>
    <row r="2" ht="30" customHeight="1">
      <c r="A2" s="13" t="inlineStr">
        <is>
          <t>评分维度</t>
        </is>
      </c>
      <c r="B2" s="13" t="inlineStr">
        <is>
          <t>权重分值</t>
        </is>
      </c>
      <c r="C2" s="13" t="inlineStr">
        <is>
          <t>条目数</t>
        </is>
      </c>
      <c r="D2" s="13" t="inlineStr">
        <is>
          <t>已完成条目</t>
        </is>
      </c>
      <c r="E2" s="13" t="inlineStr">
        <is>
          <t>已完成分值</t>
        </is>
      </c>
      <c r="F2" s="13" t="inlineStr">
        <is>
          <t>完成率</t>
        </is>
      </c>
      <c r="G2" s="13" t="inlineStr">
        <is>
          <t>备注</t>
        </is>
      </c>
    </row>
    <row r="3" ht="24" customHeight="1">
      <c r="A3" s="9" t="inlineStr">
        <is>
          <t>Agent 与大模型技术深度</t>
        </is>
      </c>
      <c r="B3" s="8" t="n">
        <v>35</v>
      </c>
      <c r="C3" s="10">
        <f>COUNTIF('评分自检'!$B$3:$B$14,A3)</f>
        <v/>
      </c>
      <c r="D3" s="10">
        <f>COUNTIFS('评分自检'!$B$3:$B$14,A3,'评分自检'!$H$3:$H$14,"已完成")</f>
        <v/>
      </c>
      <c r="E3" s="10">
        <f>SUMIFS('评分自检'!$F$3:$F$14,'评分自检'!$B$3:$B$14,A3,'评分自检'!$H$3:$H$14,"已完成")</f>
        <v/>
      </c>
      <c r="F3" s="19">
        <f>IFERROR(E3/B3,"")</f>
        <v/>
      </c>
      <c r="G3" s="11" t="inlineStr">
        <is>
          <t>【填写：主要缺口】</t>
        </is>
      </c>
    </row>
    <row r="4" ht="24" customHeight="1">
      <c r="A4" s="9" t="inlineStr">
        <is>
          <t>科研场景创新性</t>
        </is>
      </c>
      <c r="B4" s="8" t="n">
        <v>25</v>
      </c>
      <c r="C4" s="10">
        <f>COUNTIF('评分自检'!$B$15:$B$22,A4)</f>
        <v/>
      </c>
      <c r="D4" s="10">
        <f>COUNTIFS('评分自检'!$B$15:$B$22,A4,'评分自检'!$H$15:$H$22,"已完成")</f>
        <v/>
      </c>
      <c r="E4" s="10">
        <f>SUMIFS('评分自检'!$F$15:$F$22,'评分自检'!$B$15:$B$22,A4,'评分自检'!$H$15:$H$22,"已完成")</f>
        <v/>
      </c>
      <c r="F4" s="19">
        <f>IFERROR(E4/B4,"")</f>
        <v/>
      </c>
      <c r="G4" s="11" t="inlineStr">
        <is>
          <t>【填写：主要缺口】</t>
        </is>
      </c>
    </row>
    <row r="5" ht="24" customHeight="1">
      <c r="A5" s="9" t="inlineStr">
        <is>
          <t>全栈工程质量</t>
        </is>
      </c>
      <c r="B5" s="8" t="n">
        <v>10</v>
      </c>
      <c r="C5" s="10">
        <f>COUNTIF('评分自检'!$B$23:$B$29,A5)</f>
        <v/>
      </c>
      <c r="D5" s="10">
        <f>COUNTIFS('评分自检'!$B$23:$B$29,A5,'评分自检'!$H$23:$H$29,"已完成")</f>
        <v/>
      </c>
      <c r="E5" s="10">
        <f>SUMIFS('评分自检'!$F$23:$F$29,'评分自检'!$B$23:$B$29,A5,'评分自检'!$H$23:$H$29,"已完成")</f>
        <v/>
      </c>
      <c r="F5" s="19">
        <f>IFERROR(E5/B5,"")</f>
        <v/>
      </c>
      <c r="G5" s="11" t="inlineStr">
        <is>
          <t>【填写：主要缺口】</t>
        </is>
      </c>
    </row>
    <row r="6" ht="24" customHeight="1">
      <c r="A6" s="9" t="inlineStr">
        <is>
          <t>科研实用性与业务闭环</t>
        </is>
      </c>
      <c r="B6" s="8" t="n">
        <v>10</v>
      </c>
      <c r="C6" s="10">
        <f>COUNTIF('评分自检'!$B$30:$B$35,A6)</f>
        <v/>
      </c>
      <c r="D6" s="10">
        <f>COUNTIFS('评分自检'!$B$30:$B$35,A6,'评分自检'!$H$30:$H$35,"已完成")</f>
        <v/>
      </c>
      <c r="E6" s="10">
        <f>SUMIFS('评分自检'!$F$30:$F$35,'评分自检'!$B$30:$B$35,A6,'评分自检'!$H$30:$H$35,"已完成")</f>
        <v/>
      </c>
      <c r="F6" s="19">
        <f>IFERROR(E6/B6,"")</f>
        <v/>
      </c>
      <c r="G6" s="11" t="inlineStr">
        <is>
          <t>【填写：主要缺口】</t>
        </is>
      </c>
    </row>
    <row r="7" ht="24" customHeight="1">
      <c r="A7" s="9" t="inlineStr">
        <is>
          <t>学术级 UI/UX</t>
        </is>
      </c>
      <c r="B7" s="8" t="n">
        <v>10</v>
      </c>
      <c r="C7" s="10">
        <f>COUNTIF('评分自检'!$B$36:$B$41,A7)</f>
        <v/>
      </c>
      <c r="D7" s="10">
        <f>COUNTIFS('评分自检'!$B$36:$B$41,A7,'评分自检'!$H$36:$H$41,"已完成")</f>
        <v/>
      </c>
      <c r="E7" s="10">
        <f>SUMIFS('评分自检'!$F$36:$F$41,'评分自检'!$B$36:$B$41,A7,'评分自检'!$H$36:$H$41,"已完成")</f>
        <v/>
      </c>
      <c r="F7" s="19">
        <f>IFERROR(E7/B7,"")</f>
        <v/>
      </c>
      <c r="G7" s="11" t="inlineStr">
        <is>
          <t>【填写：主要缺口】</t>
        </is>
      </c>
    </row>
    <row r="8" ht="24" customHeight="1">
      <c r="A8" s="9" t="inlineStr">
        <is>
          <t>学术价值与应用广度</t>
        </is>
      </c>
      <c r="B8" s="8" t="n">
        <v>10</v>
      </c>
      <c r="C8" s="10">
        <f>COUNTIF('评分自检'!$B$42:$B$47,A8)</f>
        <v/>
      </c>
      <c r="D8" s="10">
        <f>COUNTIFS('评分自检'!$B$42:$B$47,A8,'评分自检'!$H$42:$H$47,"已完成")</f>
        <v/>
      </c>
      <c r="E8" s="10">
        <f>SUMIFS('评分自检'!$F$42:$F$47,'评分自检'!$B$42:$B$47,A8,'评分自检'!$H$42:$H$47,"已完成")</f>
        <v/>
      </c>
      <c r="F8" s="19">
        <f>IFERROR(E8/B8,"")</f>
        <v/>
      </c>
      <c r="G8" s="11" t="inlineStr">
        <is>
          <t>【填写：主要缺口】</t>
        </is>
      </c>
    </row>
    <row r="9" ht="26" customHeight="1">
      <c r="A9" s="20" t="inlineStr">
        <is>
          <t>合计</t>
        </is>
      </c>
      <c r="B9" s="20">
        <f>SUM(B3:B8)</f>
        <v/>
      </c>
      <c r="C9" s="20">
        <f>SUM(C3:C8)</f>
        <v/>
      </c>
      <c r="D9" s="20">
        <f>SUM(D3:D8)</f>
        <v/>
      </c>
      <c r="E9" s="20">
        <f>SUM(E3:E8)</f>
        <v/>
      </c>
      <c r="F9" s="21">
        <f>IFERROR(E9/B9,"")</f>
        <v/>
      </c>
      <c r="G9" s="22" t="inlineStr">
        <is>
          <t>目标：100 分全部完成</t>
        </is>
      </c>
    </row>
    <row r="11">
      <c r="A11" s="23" t="inlineStr">
        <is>
          <t>说明</t>
        </is>
      </c>
    </row>
    <row r="12" ht="20" customHeight="1">
      <c r="A12" s="24" t="inlineStr">
        <is>
          <t>1. 本表所有统计均为公式，修改“评分自检”的状态后自动刷新；如显示为 0，请按 F9 重算。</t>
        </is>
      </c>
    </row>
    <row r="13" ht="20" customHeight="1">
      <c r="A13" s="24" t="inlineStr">
        <is>
          <t>2. 权重合计必须为 100 分（B9），条目合计 45 条（C9），这是模板设计值。</t>
        </is>
      </c>
    </row>
    <row r="14" ht="20" customHeight="1">
      <c r="A14" s="24" t="inlineStr">
        <is>
          <t>3. “已完成分值”只统计状态为“已完成”的条目，用于估算当前可得分。</t>
        </is>
      </c>
    </row>
    <row r="15" ht="20" customHeight="1">
      <c r="A15" s="24" t="inlineStr">
        <is>
          <t>4. 建议每完成一个模块就更新一次，并在提交前导出 PDF 留档。</t>
        </is>
      </c>
    </row>
  </sheetData>
  <mergeCells count="5">
    <mergeCell ref="A13:G13"/>
    <mergeCell ref="A14:G14"/>
    <mergeCell ref="A1:G1"/>
    <mergeCell ref="A12:G12"/>
    <mergeCell ref="A15:G15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I24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40" customWidth="1" min="4" max="4"/>
    <col width="10" customWidth="1" min="5" max="5"/>
    <col width="30" customWidth="1" min="6" max="6"/>
    <col width="10" customWidth="1" min="7" max="7"/>
    <col width="12" customWidth="1" min="8" max="8"/>
    <col width="22" customWidth="1" min="9" max="9"/>
  </cols>
  <sheetData>
    <row r="1" ht="32" customHeight="1">
      <c r="A1" s="1" t="inlineStr">
        <is>
          <t>提交物核对 · 仓库 / 视频 / 文档 / 在线演示（官方四类交付物）</t>
        </is>
      </c>
    </row>
    <row r="2" ht="30" customHeight="1">
      <c r="A2" s="13" t="inlineStr">
        <is>
          <t>序号</t>
        </is>
      </c>
      <c r="B2" s="13" t="inlineStr">
        <is>
          <t>类别</t>
        </is>
      </c>
      <c r="C2" s="13" t="inlineStr">
        <is>
          <t>提交物 / 检查项</t>
        </is>
      </c>
      <c r="D2" s="13" t="inlineStr">
        <is>
          <t>官方要求</t>
        </is>
      </c>
      <c r="E2" s="13" t="inlineStr">
        <is>
          <t>状态</t>
        </is>
      </c>
      <c r="F2" s="13" t="inlineStr">
        <is>
          <t>证据 / 链接</t>
        </is>
      </c>
      <c r="G2" s="13" t="inlineStr">
        <is>
          <t>负责人</t>
        </is>
      </c>
      <c r="H2" s="13" t="inlineStr">
        <is>
          <t>截止日期</t>
        </is>
      </c>
      <c r="I2" s="13" t="inlineStr">
        <is>
          <t>备注</t>
        </is>
      </c>
    </row>
    <row r="3" ht="34" customHeight="1">
      <c r="A3" s="10" t="n">
        <v>1</v>
      </c>
      <c r="B3" s="14" t="inlineStr">
        <is>
          <t>代码仓库</t>
        </is>
      </c>
      <c r="C3" s="9" t="inlineStr">
        <is>
          <t>仓库地址公开可访问</t>
        </is>
      </c>
      <c r="D3" s="11" t="inlineStr">
        <is>
          <t>GitHub/Gitee，Public 或向评审开放访问权限</t>
        </is>
      </c>
      <c r="E3" s="8" t="inlineStr">
        <is>
          <t>未开始</t>
        </is>
      </c>
      <c r="F3" s="11" t="inlineStr">
        <is>
          <t>【填写：仓库链接】</t>
        </is>
      </c>
      <c r="G3" s="10" t="inlineStr">
        <is>
          <t>【姓名】</t>
        </is>
      </c>
      <c r="H3" s="10" t="inlineStr">
        <is>
          <t>【2026-11-16】</t>
        </is>
      </c>
      <c r="I3" s="11" t="inlineStr"/>
    </row>
    <row r="4" ht="34" customHeight="1">
      <c r="A4" s="10" t="n">
        <v>2</v>
      </c>
      <c r="B4" s="17" t="inlineStr">
        <is>
          <t>代码仓库</t>
        </is>
      </c>
      <c r="C4" s="9" t="inlineStr">
        <is>
          <t>仓库结构与注释规范</t>
        </is>
      </c>
      <c r="D4" s="11" t="inlineStr">
        <is>
          <t>结构清晰、注释完善、遵循主流规范；README 含项目介绍/技术架构/安装运行/个人信息</t>
        </is>
      </c>
      <c r="E4" s="8" t="inlineStr">
        <is>
          <t>未开始</t>
        </is>
      </c>
      <c r="F4" s="11" t="inlineStr">
        <is>
          <t>【填写：README 链接】</t>
        </is>
      </c>
      <c r="G4" s="10" t="inlineStr">
        <is>
          <t>【姓名】</t>
        </is>
      </c>
      <c r="H4" s="10" t="inlineStr">
        <is>
          <t>【2026-11-16】</t>
        </is>
      </c>
      <c r="I4" s="11" t="inlineStr"/>
    </row>
    <row r="5" ht="34" customHeight="1">
      <c r="A5" s="10" t="n">
        <v>3</v>
      </c>
      <c r="B5" s="14" t="inlineStr">
        <is>
          <t>代码仓库</t>
        </is>
      </c>
      <c r="C5" s="9" t="inlineStr">
        <is>
          <t>Git 提交历史完整</t>
        </is>
      </c>
      <c r="D5" s="11" t="inlineStr">
        <is>
          <t>保留完整 Git 提交历史，可看到开发过程</t>
        </is>
      </c>
      <c r="E5" s="8" t="inlineStr">
        <is>
          <t>未开始</t>
        </is>
      </c>
      <c r="F5" s="11" t="inlineStr">
        <is>
          <t>【填写：Commit 列表截图】</t>
        </is>
      </c>
      <c r="G5" s="10" t="inlineStr">
        <is>
          <t>【姓名】</t>
        </is>
      </c>
      <c r="H5" s="10" t="inlineStr">
        <is>
          <t>【2026-11-16】</t>
        </is>
      </c>
      <c r="I5" s="11" t="inlineStr"/>
    </row>
    <row r="6" ht="34" customHeight="1">
      <c r="A6" s="10" t="n">
        <v>4</v>
      </c>
      <c r="B6" s="17" t="inlineStr">
        <is>
          <t>代码仓库</t>
        </is>
      </c>
      <c r="C6" s="9" t="inlineStr">
        <is>
          <t>环境配置说明</t>
        </is>
      </c>
      <c r="D6" s="11" t="inlineStr">
        <is>
          <t>环境变量模板（.env.example）+ 依赖清单 + Docker 启动方式</t>
        </is>
      </c>
      <c r="E6" s="8" t="inlineStr">
        <is>
          <t>未开始</t>
        </is>
      </c>
      <c r="F6" s="11" t="inlineStr">
        <is>
          <t>【填写：.env.example / requirements.txt】</t>
        </is>
      </c>
      <c r="G6" s="10" t="inlineStr">
        <is>
          <t>【姓名】</t>
        </is>
      </c>
      <c r="H6" s="10" t="inlineStr">
        <is>
          <t>【2026-11-16】</t>
        </is>
      </c>
      <c r="I6" s="11" t="inlineStr"/>
    </row>
    <row r="7" ht="34" customHeight="1">
      <c r="A7" s="10" t="n">
        <v>5</v>
      </c>
      <c r="B7" s="14" t="inlineStr">
        <is>
          <t>代码仓库</t>
        </is>
      </c>
      <c r="C7" s="9" t="inlineStr">
        <is>
          <t>敏感信息零泄露</t>
        </is>
      </c>
      <c r="D7" s="11" t="inlineStr">
        <is>
          <t>API Key 等敏感信息只能走环境变量，仓库与历史中不得出现真实 Key</t>
        </is>
      </c>
      <c r="E7" s="8" t="inlineStr">
        <is>
          <t>未开始</t>
        </is>
      </c>
      <c r="F7" s="11" t="inlineStr">
        <is>
          <t>【填写：gitleaks 扫描报告】</t>
        </is>
      </c>
      <c r="G7" s="10" t="inlineStr">
        <is>
          <t>【姓名】</t>
        </is>
      </c>
      <c r="H7" s="10" t="inlineStr">
        <is>
          <t>【2026-11-16】</t>
        </is>
      </c>
      <c r="I7" s="11" t="inlineStr"/>
    </row>
    <row r="8" ht="34" customHeight="1">
      <c r="A8" s="10" t="n">
        <v>6</v>
      </c>
      <c r="B8" s="17" t="inlineStr">
        <is>
          <t>代码仓库</t>
        </is>
      </c>
      <c r="C8" s="9" t="inlineStr">
        <is>
          <t>LICENSE 与第三方合规</t>
        </is>
      </c>
      <c r="D8" s="11" t="inlineStr">
        <is>
          <t>仓库根目录有 LICENSE，第三方依赖许可证已注明</t>
        </is>
      </c>
      <c r="E8" s="8" t="inlineStr">
        <is>
          <t>未开始</t>
        </is>
      </c>
      <c r="F8" s="11" t="inlineStr">
        <is>
          <t>【填写：LICENSE 文件】</t>
        </is>
      </c>
      <c r="G8" s="10" t="inlineStr">
        <is>
          <t>【姓名】</t>
        </is>
      </c>
      <c r="H8" s="10" t="inlineStr">
        <is>
          <t>【2026-11-16】</t>
        </is>
      </c>
      <c r="I8" s="11" t="inlineStr"/>
    </row>
    <row r="9" ht="34" customHeight="1">
      <c r="A9" s="10" t="n">
        <v>7</v>
      </c>
      <c r="B9" s="14" t="inlineStr">
        <is>
          <t>演示视频</t>
        </is>
      </c>
      <c r="C9" s="9" t="inlineStr">
        <is>
          <t>时长 5–8 分钟</t>
        </is>
      </c>
      <c r="D9" s="11" t="inlineStr">
        <is>
          <t>成片时长落在 5–8 分钟区间，建议 6:30–7:30</t>
        </is>
      </c>
      <c r="E9" s="8" t="inlineStr">
        <is>
          <t>未开始</t>
        </is>
      </c>
      <c r="F9" s="11" t="inlineStr">
        <is>
          <t>【填写：视频链接/时长截图】</t>
        </is>
      </c>
      <c r="G9" s="10" t="inlineStr">
        <is>
          <t>【姓名】</t>
        </is>
      </c>
      <c r="H9" s="10" t="inlineStr">
        <is>
          <t>【2026-11-16】</t>
        </is>
      </c>
      <c r="I9" s="11" t="inlineStr"/>
    </row>
    <row r="10" ht="34" customHeight="1">
      <c r="A10" s="10" t="n">
        <v>8</v>
      </c>
      <c r="B10" s="17" t="inlineStr">
        <is>
          <t>演示视频</t>
        </is>
      </c>
      <c r="C10" s="9" t="inlineStr">
        <is>
          <t>格式 MP4、分辨率 &gt;=1080p</t>
        </is>
      </c>
      <c r="D10" s="11" t="inlineStr">
        <is>
          <t>MP4 封装，1920×1080 及以上，画面文字清晰</t>
        </is>
      </c>
      <c r="E10" s="8" t="inlineStr">
        <is>
          <t>未开始</t>
        </is>
      </c>
      <c r="F10" s="11" t="inlineStr">
        <is>
          <t>【填写：媒体信息截图】</t>
        </is>
      </c>
      <c r="G10" s="10" t="inlineStr">
        <is>
          <t>【姓名】</t>
        </is>
      </c>
      <c r="H10" s="10" t="inlineStr">
        <is>
          <t>【2026-11-16】</t>
        </is>
      </c>
      <c r="I10" s="11" t="inlineStr"/>
    </row>
    <row r="11" ht="34" customHeight="1">
      <c r="A11" s="10" t="n">
        <v>9</v>
      </c>
      <c r="B11" s="14" t="inlineStr">
        <is>
          <t>演示视频</t>
        </is>
      </c>
      <c r="C11" s="9" t="inlineStr">
        <is>
          <t>普通话讲解、可配字幕</t>
        </is>
      </c>
      <c r="D11" s="11" t="inlineStr">
        <is>
          <t>讲解清晰，术语统一，建议全程中文字幕</t>
        </is>
      </c>
      <c r="E11" s="8" t="inlineStr">
        <is>
          <t>未开始</t>
        </is>
      </c>
      <c r="F11" s="11" t="inlineStr">
        <is>
          <t>【填写：字幕文件/成片】</t>
        </is>
      </c>
      <c r="G11" s="10" t="inlineStr">
        <is>
          <t>【姓名】</t>
        </is>
      </c>
      <c r="H11" s="10" t="inlineStr">
        <is>
          <t>【2026-11-16】</t>
        </is>
      </c>
      <c r="I11" s="11" t="inlineStr"/>
    </row>
    <row r="12" ht="34" customHeight="1">
      <c r="A12" s="10" t="n">
        <v>10</v>
      </c>
      <c r="B12" s="17" t="inlineStr">
        <is>
          <t>演示视频</t>
        </is>
      </c>
      <c r="C12" s="9" t="inlineStr">
        <is>
          <t>内容含项目介绍/核心功能/AI 亮点</t>
        </is>
      </c>
      <c r="D12" s="11" t="inlineStr">
        <is>
          <t>三段结构完整，六大模块均有演示</t>
        </is>
      </c>
      <c r="E12" s="8" t="inlineStr">
        <is>
          <t>未开始</t>
        </is>
      </c>
      <c r="F12" s="11" t="inlineStr">
        <is>
          <t>【填写：视频脚本时间码对照】</t>
        </is>
      </c>
      <c r="G12" s="10" t="inlineStr">
        <is>
          <t>【姓名】</t>
        </is>
      </c>
      <c r="H12" s="10" t="inlineStr">
        <is>
          <t>【2026-11-16】</t>
        </is>
      </c>
      <c r="I12" s="11" t="inlineStr"/>
    </row>
    <row r="13" ht="34" customHeight="1">
      <c r="A13" s="10" t="n">
        <v>11</v>
      </c>
      <c r="B13" s="14" t="inlineStr">
        <is>
          <t>演示视频</t>
        </is>
      </c>
      <c r="C13" s="9" t="inlineStr">
        <is>
          <t>链接可公开访问</t>
        </is>
      </c>
      <c r="D13" s="11" t="inlineStr">
        <is>
          <t>评审无需登录即可播放/下载，链接有效期覆盖评审期</t>
        </is>
      </c>
      <c r="E13" s="8" t="inlineStr">
        <is>
          <t>未开始</t>
        </is>
      </c>
      <c r="F13" s="11" t="inlineStr">
        <is>
          <t>【填写：无痕浏览器截图】</t>
        </is>
      </c>
      <c r="G13" s="10" t="inlineStr">
        <is>
          <t>【姓名】</t>
        </is>
      </c>
      <c r="H13" s="10" t="inlineStr">
        <is>
          <t>【2026-11-16】</t>
        </is>
      </c>
      <c r="I13" s="11" t="inlineStr"/>
    </row>
    <row r="14" ht="34" customHeight="1">
      <c r="A14" s="10" t="n">
        <v>12</v>
      </c>
      <c r="B14" s="17" t="inlineStr">
        <is>
          <t>技术文档</t>
        </is>
      </c>
      <c r="C14" s="9" t="inlineStr">
        <is>
          <t>PDF 格式且 &lt;=30 页</t>
        </is>
      </c>
      <c r="D14" s="11" t="inlineStr">
        <is>
          <t>提交 PDF 版本，页数不超过 30 页</t>
        </is>
      </c>
      <c r="E14" s="8" t="inlineStr">
        <is>
          <t>未开始</t>
        </is>
      </c>
      <c r="F14" s="11" t="inlineStr">
        <is>
          <t>【填写：PDF 属性/页数截图】</t>
        </is>
      </c>
      <c r="G14" s="10" t="inlineStr">
        <is>
          <t>【姓名】</t>
        </is>
      </c>
      <c r="H14" s="10" t="inlineStr">
        <is>
          <t>【2026-11-16】</t>
        </is>
      </c>
      <c r="I14" s="11" t="inlineStr"/>
    </row>
    <row r="15" ht="34" customHeight="1">
      <c r="A15" s="10" t="n">
        <v>13</v>
      </c>
      <c r="B15" s="14" t="inlineStr">
        <is>
          <t>技术文档</t>
        </is>
      </c>
      <c r="C15" s="9" t="inlineStr">
        <is>
          <t>官方 7 章节齐全</t>
        </is>
      </c>
      <c r="D15" s="11" t="inlineStr">
        <is>
          <t>项目概述、需求分析、系统架构设计、AI 技术方案、核心功能实现、测试与部署、总结与展望</t>
        </is>
      </c>
      <c r="E15" s="8" t="inlineStr">
        <is>
          <t>未开始</t>
        </is>
      </c>
      <c r="F15" s="11" t="inlineStr">
        <is>
          <t>【填写：目录页截图】</t>
        </is>
      </c>
      <c r="G15" s="10" t="inlineStr">
        <is>
          <t>【姓名】</t>
        </is>
      </c>
      <c r="H15" s="10" t="inlineStr">
        <is>
          <t>【2026-11-16】</t>
        </is>
      </c>
      <c r="I15" s="11" t="inlineStr"/>
    </row>
    <row r="16" ht="34" customHeight="1">
      <c r="A16" s="10" t="n">
        <v>14</v>
      </c>
      <c r="B16" s="17" t="inlineStr">
        <is>
          <t>技术文档</t>
        </is>
      </c>
      <c r="C16" s="9" t="inlineStr">
        <is>
          <t>AI 技术说明充分</t>
        </is>
      </c>
      <c r="D16" s="11" t="inlineStr">
        <is>
          <t>技术选型理由、集成方式、优化策略、评测方法</t>
        </is>
      </c>
      <c r="E16" s="8" t="inlineStr">
        <is>
          <t>未开始</t>
        </is>
      </c>
      <c r="F16" s="11" t="inlineStr">
        <is>
          <t>【填写：第 4 章页码】</t>
        </is>
      </c>
      <c r="G16" s="10" t="inlineStr">
        <is>
          <t>【姓名】</t>
        </is>
      </c>
      <c r="H16" s="10" t="inlineStr">
        <is>
          <t>【2026-11-16】</t>
        </is>
      </c>
      <c r="I16" s="11" t="inlineStr"/>
    </row>
    <row r="17" ht="34" customHeight="1">
      <c r="A17" s="10" t="n">
        <v>15</v>
      </c>
      <c r="B17" s="14" t="inlineStr">
        <is>
          <t>技术文档</t>
        </is>
      </c>
      <c r="C17" s="9" t="inlineStr">
        <is>
          <t>创新点明确</t>
        </is>
      </c>
      <c r="D17" s="11" t="inlineStr">
        <is>
          <t>明确列出技术创新点与应用创新点，与技术文档/README/视频一致</t>
        </is>
      </c>
      <c r="E17" s="8" t="inlineStr">
        <is>
          <t>未开始</t>
        </is>
      </c>
      <c r="F17" s="11" t="inlineStr">
        <is>
          <t>【填写：第 8 章 / 第 4.7 节】</t>
        </is>
      </c>
      <c r="G17" s="10" t="inlineStr">
        <is>
          <t>【姓名】</t>
        </is>
      </c>
      <c r="H17" s="10" t="inlineStr">
        <is>
          <t>【2026-11-16】</t>
        </is>
      </c>
      <c r="I17" s="11" t="inlineStr"/>
    </row>
    <row r="18" ht="34" customHeight="1">
      <c r="A18" s="10" t="n">
        <v>16</v>
      </c>
      <c r="B18" s="17" t="inlineStr">
        <is>
          <t>技术文档</t>
        </is>
      </c>
      <c r="C18" s="9" t="inlineStr">
        <is>
          <t>排版规范</t>
        </is>
      </c>
      <c r="D18" s="11" t="inlineStr">
        <is>
          <t>标题层级、目录、页眉页脚、页码、图表编号统一</t>
        </is>
      </c>
      <c r="E18" s="8" t="inlineStr">
        <is>
          <t>未开始</t>
        </is>
      </c>
      <c r="F18" s="11" t="inlineStr">
        <is>
          <t>【填写：PDF 第 1–3 页】</t>
        </is>
      </c>
      <c r="G18" s="10" t="inlineStr">
        <is>
          <t>【姓名】</t>
        </is>
      </c>
      <c r="H18" s="10" t="inlineStr">
        <is>
          <t>【2026-11-16】</t>
        </is>
      </c>
      <c r="I18" s="11" t="inlineStr"/>
    </row>
    <row r="19" ht="34" customHeight="1">
      <c r="A19" s="10" t="n">
        <v>17</v>
      </c>
      <c r="B19" s="14" t="inlineStr">
        <is>
          <t>在线演示</t>
        </is>
      </c>
      <c r="C19" s="9" t="inlineStr">
        <is>
          <t>公网地址可访问</t>
        </is>
      </c>
      <c r="D19" s="11" t="inlineStr">
        <is>
          <t>评审可直接打开，无需本地安装；评审期间保持可用</t>
        </is>
      </c>
      <c r="E19" s="8" t="inlineStr">
        <is>
          <t>未开始</t>
        </is>
      </c>
      <c r="F19" s="11" t="inlineStr">
        <is>
          <t>【填写：访问截图】</t>
        </is>
      </c>
      <c r="G19" s="10" t="inlineStr">
        <is>
          <t>【姓名】</t>
        </is>
      </c>
      <c r="H19" s="10" t="inlineStr">
        <is>
          <t>【2026-11-16】</t>
        </is>
      </c>
      <c r="I19" s="11" t="inlineStr"/>
    </row>
    <row r="20" ht="34" customHeight="1">
      <c r="A20" s="10" t="n">
        <v>18</v>
      </c>
      <c r="B20" s="17" t="inlineStr">
        <is>
          <t>在线演示</t>
        </is>
      </c>
      <c r="C20" s="9" t="inlineStr">
        <is>
          <t>评审专用测试账号</t>
        </is>
      </c>
      <c r="D20" s="11" t="inlineStr">
        <is>
          <t>提供账号密码与使用说明，权限为普通用户</t>
        </is>
      </c>
      <c r="E20" s="8" t="inlineStr">
        <is>
          <t>未开始</t>
        </is>
      </c>
      <c r="F20" s="11" t="inlineStr">
        <is>
          <t>【填写：README 1.4 节】</t>
        </is>
      </c>
      <c r="G20" s="10" t="inlineStr">
        <is>
          <t>【姓名】</t>
        </is>
      </c>
      <c r="H20" s="10" t="inlineStr">
        <is>
          <t>【2026-11-16】</t>
        </is>
      </c>
      <c r="I20" s="11" t="inlineStr"/>
    </row>
    <row r="21" ht="34" customHeight="1">
      <c r="A21" s="10" t="n">
        <v>19</v>
      </c>
      <c r="B21" s="14" t="inlineStr">
        <is>
          <t>在线演示</t>
        </is>
      </c>
      <c r="C21" s="9" t="inlineStr">
        <is>
          <t>演示数据已预置</t>
        </is>
      </c>
      <c r="D21" s="11" t="inlineStr">
        <is>
          <t>登录即有示例知识库/论文/图谱，可复现核心链路</t>
        </is>
      </c>
      <c r="E21" s="8" t="inlineStr">
        <is>
          <t>未开始</t>
        </is>
      </c>
      <c r="F21" s="11" t="inlineStr">
        <is>
          <t>【填写：截图 3 张】</t>
        </is>
      </c>
      <c r="G21" s="10" t="inlineStr">
        <is>
          <t>【姓名】</t>
        </is>
      </c>
      <c r="H21" s="10" t="inlineStr">
        <is>
          <t>【2026-11-16】</t>
        </is>
      </c>
      <c r="I21" s="11" t="inlineStr"/>
    </row>
    <row r="22" ht="34" customHeight="1">
      <c r="A22" s="10" t="n">
        <v>20</v>
      </c>
      <c r="B22" s="17" t="inlineStr">
        <is>
          <t>比赛流程</t>
        </is>
      </c>
      <c r="C22" s="9" t="inlineStr">
        <is>
          <t>提交材料命名规范</t>
        </is>
      </c>
      <c r="D22" s="11" t="inlineStr">
        <is>
          <t>统一命名：赛事-赛道-姓名-项目-材料类型-版本</t>
        </is>
      </c>
      <c r="E22" s="8" t="inlineStr">
        <is>
          <t>未开始</t>
        </is>
      </c>
      <c r="F22" s="11" t="inlineStr">
        <is>
          <t>【填写：文件列表截图】</t>
        </is>
      </c>
      <c r="G22" s="10" t="inlineStr">
        <is>
          <t>【姓名】</t>
        </is>
      </c>
      <c r="H22" s="10" t="inlineStr">
        <is>
          <t>【2026-11-16】</t>
        </is>
      </c>
      <c r="I22" s="11" t="inlineStr"/>
    </row>
    <row r="23" ht="34" customHeight="1">
      <c r="A23" s="10" t="n">
        <v>21</v>
      </c>
      <c r="B23" s="14" t="inlineStr">
        <is>
          <t>比赛流程</t>
        </is>
      </c>
      <c r="C23" s="9" t="inlineStr">
        <is>
          <t>截止时间前完成提交</t>
        </is>
      </c>
      <c r="D23" s="11" t="inlineStr">
        <is>
          <t>2026-11-18 前完成作品提交，提前 3 天留缓冲</t>
        </is>
      </c>
      <c r="E23" s="8" t="inlineStr">
        <is>
          <t>未开始</t>
        </is>
      </c>
      <c r="F23" s="11" t="inlineStr">
        <is>
          <t>【填写：提交回执截图】</t>
        </is>
      </c>
      <c r="G23" s="10" t="inlineStr">
        <is>
          <t>【姓名】</t>
        </is>
      </c>
      <c r="H23" s="10" t="inlineStr">
        <is>
          <t>【2026-11-16】</t>
        </is>
      </c>
      <c r="I23" s="11" t="inlineStr"/>
    </row>
    <row r="24" ht="34" customHeight="1">
      <c r="A24" s="10" t="n">
        <v>22</v>
      </c>
      <c r="B24" s="17" t="inlineStr">
        <is>
          <t>比赛流程</t>
        </is>
      </c>
      <c r="C24" s="9" t="inlineStr">
        <is>
          <t>提交回执与备份</t>
        </is>
      </c>
      <c r="D24" s="11" t="inlineStr">
        <is>
          <t>保留提交成功截图；本地/网盘各留一份完整备份</t>
        </is>
      </c>
      <c r="E24" s="8" t="inlineStr">
        <is>
          <t>未开始</t>
        </is>
      </c>
      <c r="F24" s="11" t="inlineStr">
        <is>
          <t>【填写：回执截图】</t>
        </is>
      </c>
      <c r="G24" s="10" t="inlineStr">
        <is>
          <t>【姓名】</t>
        </is>
      </c>
      <c r="H24" s="10" t="inlineStr">
        <is>
          <t>【2026-11-16】</t>
        </is>
      </c>
      <c r="I24" s="11" t="inlineStr"/>
    </row>
  </sheetData>
  <autoFilter ref="A2:I24"/>
  <mergeCells count="1">
    <mergeCell ref="A1:I1"/>
  </mergeCells>
  <conditionalFormatting sqref="E3:E24">
    <cfRule type="expression" priority="1" dxfId="0" stopIfTrue="0">
      <formula>$E3="已完成"</formula>
    </cfRule>
    <cfRule type="expression" priority="2" dxfId="1" stopIfTrue="0">
      <formula>$E3="进行中"</formula>
    </cfRule>
    <cfRule type="expression" priority="3" dxfId="2" stopIfTrue="0">
      <formula>$E3="不通过"</formula>
    </cfRule>
    <cfRule type="expression" priority="4" dxfId="3" stopIfTrue="0">
      <formula>$E3="未开始"</formula>
    </cfRule>
    <cfRule type="expression" priority="5" dxfId="4" stopIfTrue="0">
      <formula>$E3="不适用"</formula>
    </cfRule>
  </conditionalFormatting>
  <dataValidations count="1">
    <dataValidation sqref="E3:E24" showDropDown="0" showInputMessage="1" showErrorMessage="1" allowBlank="1" errorTitle="输入无效" error="请从下拉列表中选择状态" promptTitle="状态" prompt="点击下拉选择：未开始 / 进行中 / 已完成 / 不通过 / 不适用" type="list">
      <formula1>"未开始,进行中,已完成,不通过,不适用"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17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26" customWidth="1" min="3" max="3"/>
    <col width="36" customWidth="1" min="4" max="4"/>
    <col width="26" customWidth="1" min="5" max="5"/>
    <col width="10" customWidth="1" min="6" max="6"/>
    <col width="30" customWidth="1" min="7" max="7"/>
  </cols>
  <sheetData>
    <row r="1" ht="32" customHeight="1">
      <c r="A1" s="1" t="inlineStr">
        <is>
          <t>官方要求对照 · 要求 → 交付物 → 落地位置（逐条可追溯）</t>
        </is>
      </c>
    </row>
    <row r="2" ht="30" customHeight="1">
      <c r="A2" s="13" t="inlineStr">
        <is>
          <t>序号</t>
        </is>
      </c>
      <c r="B2" s="13" t="inlineStr">
        <is>
          <t>官方要求（要点）</t>
        </is>
      </c>
      <c r="C2" s="13" t="inlineStr">
        <is>
          <t>对应交付物</t>
        </is>
      </c>
      <c r="D2" s="13" t="inlineStr">
        <is>
          <t>落地位置（文件 / 章节 / 时间码）</t>
        </is>
      </c>
      <c r="E2" s="13" t="inlineStr">
        <is>
          <t>证据建议</t>
        </is>
      </c>
      <c r="F2" s="13" t="inlineStr">
        <is>
          <t>状态</t>
        </is>
      </c>
      <c r="G2" s="13" t="inlineStr">
        <is>
          <t>证据链接 / 位置</t>
        </is>
      </c>
    </row>
    <row r="3" ht="34" customHeight="1">
      <c r="A3" s="10" t="n">
        <v>1</v>
      </c>
      <c r="B3" s="14" t="inlineStr">
        <is>
          <t>代码仓库</t>
        </is>
      </c>
      <c r="C3" s="11" t="inlineStr">
        <is>
          <t>GitHub/Gitee，Public 或向评审开放访问权限</t>
        </is>
      </c>
      <c r="D3" s="11" t="inlineStr">
        <is>
          <t>仓库地址</t>
        </is>
      </c>
      <c r="E3" s="11" t="inlineStr">
        <is>
          <t>仓库 Settings 截图/评审账号</t>
        </is>
      </c>
      <c r="F3" s="8" t="inlineStr">
        <is>
          <t>未开始</t>
        </is>
      </c>
      <c r="G3" s="11" t="inlineStr">
        <is>
          <t>【填写：链接 / 截图】</t>
        </is>
      </c>
    </row>
    <row r="4" ht="34" customHeight="1">
      <c r="A4" s="10" t="n">
        <v>2</v>
      </c>
      <c r="B4" s="17" t="inlineStr">
        <is>
          <t>仓库结构</t>
        </is>
      </c>
      <c r="C4" s="11" t="inlineStr">
        <is>
          <t>结构清晰、注释完善、遵循主流规范</t>
        </is>
      </c>
      <c r="D4" s="11" t="inlineStr">
        <is>
          <t>README 目录结构 / 技术文档第 3 章</t>
        </is>
      </c>
      <c r="E4" s="11" t="inlineStr">
        <is>
          <t>目录树截图</t>
        </is>
      </c>
      <c r="F4" s="8" t="inlineStr">
        <is>
          <t>未开始</t>
        </is>
      </c>
      <c r="G4" s="11" t="inlineStr">
        <is>
          <t>【填写：链接 / 截图】</t>
        </is>
      </c>
    </row>
    <row r="5" ht="34" customHeight="1">
      <c r="A5" s="10" t="n">
        <v>3</v>
      </c>
      <c r="B5" s="14" t="inlineStr">
        <is>
          <t>README 内容</t>
        </is>
      </c>
      <c r="C5" s="11" t="inlineStr">
        <is>
          <t>项目介绍、技术架构、安装运行指南、团队（个人）信息</t>
        </is>
      </c>
      <c r="D5" s="11" t="inlineStr">
        <is>
          <t>README.md</t>
        </is>
      </c>
      <c r="E5" s="11" t="inlineStr">
        <is>
          <t>README 链接</t>
        </is>
      </c>
      <c r="F5" s="8" t="inlineStr">
        <is>
          <t>未开始</t>
        </is>
      </c>
      <c r="G5" s="11" t="inlineStr">
        <is>
          <t>【填写：链接 / 截图】</t>
        </is>
      </c>
    </row>
    <row r="6" ht="19" customHeight="1">
      <c r="A6" s="10" t="n">
        <v>4</v>
      </c>
      <c r="B6" s="17" t="inlineStr">
        <is>
          <t>Git 历史</t>
        </is>
      </c>
      <c r="C6" s="11" t="inlineStr">
        <is>
          <t>保留完整 Git 提交历史</t>
        </is>
      </c>
      <c r="D6" s="11" t="inlineStr">
        <is>
          <t>仓库 Commits 页</t>
        </is>
      </c>
      <c r="E6" s="11" t="inlineStr">
        <is>
          <t>提交记录截图/次数</t>
        </is>
      </c>
      <c r="F6" s="8" t="inlineStr">
        <is>
          <t>未开始</t>
        </is>
      </c>
      <c r="G6" s="11" t="inlineStr">
        <is>
          <t>【填写：链接 / 截图】</t>
        </is>
      </c>
    </row>
    <row r="7" ht="34" customHeight="1">
      <c r="A7" s="10" t="n">
        <v>5</v>
      </c>
      <c r="B7" s="14" t="inlineStr">
        <is>
          <t>环境配置</t>
        </is>
      </c>
      <c r="C7" s="11" t="inlineStr">
        <is>
          <t>环境变量模板 + 依赖清单；敏感信息只走环境变量</t>
        </is>
      </c>
      <c r="D7" s="11" t="inlineStr">
        <is>
          <t>.env.example / requirements.txt / package.json</t>
        </is>
      </c>
      <c r="E7" s="11" t="inlineStr">
        <is>
          <t>文件路径</t>
        </is>
      </c>
      <c r="F7" s="8" t="inlineStr">
        <is>
          <t>未开始</t>
        </is>
      </c>
      <c r="G7" s="11" t="inlineStr">
        <is>
          <t>【填写：链接 / 截图】</t>
        </is>
      </c>
    </row>
    <row r="8" ht="34" customHeight="1">
      <c r="A8" s="10" t="n">
        <v>6</v>
      </c>
      <c r="B8" s="17" t="inlineStr">
        <is>
          <t>演示视频</t>
        </is>
      </c>
      <c r="C8" s="11" t="inlineStr">
        <is>
          <t>5–8 分钟、MP4、&gt;=1080p、普通话讲解、可配字幕</t>
        </is>
      </c>
      <c r="D8" s="11" t="inlineStr">
        <is>
          <t>演示视频脚本 + 成片</t>
        </is>
      </c>
      <c r="E8" s="11" t="inlineStr">
        <is>
          <t>视频链接/文件</t>
        </is>
      </c>
      <c r="F8" s="8" t="inlineStr">
        <is>
          <t>未开始</t>
        </is>
      </c>
      <c r="G8" s="11" t="inlineStr">
        <is>
          <t>【填写：链接 / 截图】</t>
        </is>
      </c>
    </row>
    <row r="9" ht="34" customHeight="1">
      <c r="A9" s="10" t="n">
        <v>7</v>
      </c>
      <c r="B9" s="14" t="inlineStr">
        <is>
          <t>视频内容</t>
        </is>
      </c>
      <c r="C9" s="11" t="inlineStr">
        <is>
          <t>项目介绍、核心功能演示、AI 技术亮点</t>
        </is>
      </c>
      <c r="D9" s="11" t="inlineStr">
        <is>
          <t>视频脚本 S1–S12</t>
        </is>
      </c>
      <c r="E9" s="11" t="inlineStr">
        <is>
          <t>时间码对照表</t>
        </is>
      </c>
      <c r="F9" s="8" t="inlineStr">
        <is>
          <t>未开始</t>
        </is>
      </c>
      <c r="G9" s="11" t="inlineStr">
        <is>
          <t>【填写：链接 / 截图】</t>
        </is>
      </c>
    </row>
    <row r="10" ht="19" customHeight="1">
      <c r="A10" s="10" t="n">
        <v>8</v>
      </c>
      <c r="B10" s="17" t="inlineStr">
        <is>
          <t>技术文档格式</t>
        </is>
      </c>
      <c r="C10" s="11" t="inlineStr">
        <is>
          <t>PDF、&lt;=30 页</t>
        </is>
      </c>
      <c r="D10" s="11" t="inlineStr">
        <is>
          <t>技术文档模板.docx → 导出 PDF</t>
        </is>
      </c>
      <c r="E10" s="11" t="inlineStr">
        <is>
          <t>PDF 页数</t>
        </is>
      </c>
      <c r="F10" s="8" t="inlineStr">
        <is>
          <t>未开始</t>
        </is>
      </c>
      <c r="G10" s="11" t="inlineStr">
        <is>
          <t>【填写：链接 / 截图】</t>
        </is>
      </c>
    </row>
    <row r="11" ht="64" customHeight="1">
      <c r="A11" s="10" t="n">
        <v>9</v>
      </c>
      <c r="B11" s="14" t="inlineStr">
        <is>
          <t>技术文档章节</t>
        </is>
      </c>
      <c r="C11" s="11" t="inlineStr">
        <is>
          <t>项目概述、需求分析、系统架构设计、AI 技术方案、核心功能实现、测试与部署、总结与展望</t>
        </is>
      </c>
      <c r="D11" s="11" t="inlineStr">
        <is>
          <t>技术文档第 1–7 章</t>
        </is>
      </c>
      <c r="E11" s="11" t="inlineStr">
        <is>
          <t>目录页截图</t>
        </is>
      </c>
      <c r="F11" s="8" t="inlineStr">
        <is>
          <t>未开始</t>
        </is>
      </c>
      <c r="G11" s="11" t="inlineStr">
        <is>
          <t>【填写：链接 / 截图】</t>
        </is>
      </c>
    </row>
    <row r="12" ht="34" customHeight="1">
      <c r="A12" s="10" t="n">
        <v>10</v>
      </c>
      <c r="B12" s="17" t="inlineStr">
        <is>
          <t>技术文档重点</t>
        </is>
      </c>
      <c r="C12" s="11" t="inlineStr">
        <is>
          <t>AI 技术选型理由/集成方式/优化策略</t>
        </is>
      </c>
      <c r="D12" s="11" t="inlineStr">
        <is>
          <t>技术文档第 4 章</t>
        </is>
      </c>
      <c r="E12" s="11" t="inlineStr">
        <is>
          <t>章节页码</t>
        </is>
      </c>
      <c r="F12" s="8" t="inlineStr">
        <is>
          <t>未开始</t>
        </is>
      </c>
      <c r="G12" s="11" t="inlineStr">
        <is>
          <t>【填写：链接 / 截图】</t>
        </is>
      </c>
    </row>
    <row r="13" ht="34" customHeight="1">
      <c r="A13" s="10" t="n">
        <v>11</v>
      </c>
      <c r="B13" s="14" t="inlineStr">
        <is>
          <t>创新点</t>
        </is>
      </c>
      <c r="C13" s="11" t="inlineStr">
        <is>
          <t>明确列出技术创新点与应用创新点</t>
        </is>
      </c>
      <c r="D13" s="11" t="inlineStr">
        <is>
          <t>技术文档第 4.7/5.8/8 章 + README 第 10 节</t>
        </is>
      </c>
      <c r="E13" s="11" t="inlineStr">
        <is>
          <t>章节页码</t>
        </is>
      </c>
      <c r="F13" s="8" t="inlineStr">
        <is>
          <t>未开始</t>
        </is>
      </c>
      <c r="G13" s="11" t="inlineStr">
        <is>
          <t>【填写：链接 / 截图】</t>
        </is>
      </c>
    </row>
    <row r="14" ht="34" customHeight="1">
      <c r="A14" s="10" t="n">
        <v>12</v>
      </c>
      <c r="B14" s="17" t="inlineStr">
        <is>
          <t>在线演示</t>
        </is>
      </c>
      <c r="C14" s="11" t="inlineStr">
        <is>
          <t>公网可访问、评审期间保持可用</t>
        </is>
      </c>
      <c r="D14" s="11" t="inlineStr">
        <is>
          <t>在线演示地址</t>
        </is>
      </c>
      <c r="E14" s="11" t="inlineStr">
        <is>
          <t>访问截图</t>
        </is>
      </c>
      <c r="F14" s="8" t="inlineStr">
        <is>
          <t>未开始</t>
        </is>
      </c>
      <c r="G14" s="11" t="inlineStr">
        <is>
          <t>【填写：链接 / 截图】</t>
        </is>
      </c>
    </row>
    <row r="15" ht="19" customHeight="1">
      <c r="A15" s="10" t="n">
        <v>13</v>
      </c>
      <c r="B15" s="14" t="inlineStr">
        <is>
          <t>评审账号</t>
        </is>
      </c>
      <c r="C15" s="11" t="inlineStr">
        <is>
          <t>提供评审专用测试账号</t>
        </is>
      </c>
      <c r="D15" s="11" t="inlineStr">
        <is>
          <t>README 1.4 节 / 提交表单</t>
        </is>
      </c>
      <c r="E15" s="11" t="inlineStr">
        <is>
          <t>账号密码</t>
        </is>
      </c>
      <c r="F15" s="8" t="inlineStr">
        <is>
          <t>未开始</t>
        </is>
      </c>
      <c r="G15" s="11" t="inlineStr">
        <is>
          <t>【填写：链接 / 截图】</t>
        </is>
      </c>
    </row>
    <row r="16" ht="34" customHeight="1">
      <c r="A16" s="10" t="n">
        <v>14</v>
      </c>
      <c r="B16" s="17" t="inlineStr">
        <is>
          <t>评分权重</t>
        </is>
      </c>
      <c r="C16" s="11" t="inlineStr">
        <is>
          <t>35/25/10/10/10/10 + 决赛 30%</t>
        </is>
      </c>
      <c r="D16" s="11" t="inlineStr">
        <is>
          <t>本清单评分自检 / 技术文档附录 B</t>
        </is>
      </c>
      <c r="E16" s="11" t="inlineStr">
        <is>
          <t>自评表</t>
        </is>
      </c>
      <c r="F16" s="8" t="inlineStr">
        <is>
          <t>未开始</t>
        </is>
      </c>
      <c r="G16" s="11" t="inlineStr">
        <is>
          <t>【填写：链接 / 截图】</t>
        </is>
      </c>
    </row>
    <row r="17" ht="19" customHeight="1">
      <c r="A17" s="10" t="n">
        <v>15</v>
      </c>
      <c r="B17" s="14" t="inlineStr">
        <is>
          <t>截止时间</t>
        </is>
      </c>
      <c r="C17" s="11" t="inlineStr">
        <is>
          <t>2026-11-18 前完成作品提交</t>
        </is>
      </c>
      <c r="D17" s="11" t="inlineStr">
        <is>
          <t>提交材料总清单</t>
        </is>
      </c>
      <c r="E17" s="11" t="inlineStr">
        <is>
          <t>提交回执截图</t>
        </is>
      </c>
      <c r="F17" s="8" t="inlineStr">
        <is>
          <t>未开始</t>
        </is>
      </c>
      <c r="G17" s="11" t="inlineStr">
        <is>
          <t>【填写：链接 / 截图】</t>
        </is>
      </c>
    </row>
  </sheetData>
  <autoFilter ref="A2:G17"/>
  <mergeCells count="1">
    <mergeCell ref="A1:G1"/>
  </mergeCells>
  <conditionalFormatting sqref="F3:F17">
    <cfRule type="expression" priority="1" dxfId="0" stopIfTrue="0">
      <formula>$F3="已完成"</formula>
    </cfRule>
    <cfRule type="expression" priority="2" dxfId="1" stopIfTrue="0">
      <formula>$F3="进行中"</formula>
    </cfRule>
    <cfRule type="expression" priority="3" dxfId="2" stopIfTrue="0">
      <formula>$F3="不通过"</formula>
    </cfRule>
    <cfRule type="expression" priority="4" dxfId="3" stopIfTrue="0">
      <formula>$F3="未开始"</formula>
    </cfRule>
    <cfRule type="expression" priority="5" dxfId="4" stopIfTrue="0">
      <formula>$F3="不适用"</formula>
    </cfRule>
  </conditionalFormatting>
  <dataValidations count="1">
    <dataValidation sqref="F3:F17" showDropDown="0" showInputMessage="1" showErrorMessage="1" allowBlank="1" errorTitle="输入无效" error="请从下拉列表中选择状态" promptTitle="状态" prompt="点击下拉选择：未开始 / 进行中 / 已完成 / 不通过 / 不适用" type="list">
      <formula1>"未开始,进行中,已完成,不通过,不适用"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H8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44" customWidth="1" min="4" max="4"/>
    <col width="30" customWidth="1" min="5" max="5"/>
    <col width="10" customWidth="1" min="6" max="6"/>
    <col width="28" customWidth="1" min="7" max="7"/>
    <col width="20" customWidth="1" min="8" max="8"/>
  </cols>
  <sheetData>
    <row r="1" ht="32" customHeight="1">
      <c r="A1" s="1" t="inlineStr">
        <is>
          <t>决赛答辩准备（决赛答辩占决赛成绩 30%：代码架构讲解 / Prompt 审计记录 / 现场 Demo）</t>
        </is>
      </c>
    </row>
    <row r="2" ht="30" customHeight="1">
      <c r="A2" s="13" t="inlineStr">
        <is>
          <t>序号</t>
        </is>
      </c>
      <c r="B2" s="13" t="inlineStr">
        <is>
          <t>环节</t>
        </is>
      </c>
      <c r="C2" s="13" t="inlineStr">
        <is>
          <t>官方要求</t>
        </is>
      </c>
      <c r="D2" s="13" t="inlineStr">
        <is>
          <t>准备内容</t>
        </is>
      </c>
      <c r="E2" s="13" t="inlineStr">
        <is>
          <t>完成标准</t>
        </is>
      </c>
      <c r="F2" s="13" t="inlineStr">
        <is>
          <t>状态</t>
        </is>
      </c>
      <c r="G2" s="13" t="inlineStr">
        <is>
          <t>证据 / 链接</t>
        </is>
      </c>
      <c r="H2" s="13" t="inlineStr">
        <is>
          <t>备注</t>
        </is>
      </c>
    </row>
    <row r="3" ht="34" customHeight="1">
      <c r="A3" s="10" t="n">
        <v>1</v>
      </c>
      <c r="B3" s="25" t="inlineStr">
        <is>
          <t>代码架构讲解（R1）</t>
        </is>
      </c>
      <c r="C3" s="11" t="inlineStr">
        <is>
          <t>10–15 分钟内讲清整体架构、模块边界、关键实现与设计取舍</t>
        </is>
      </c>
      <c r="D3" s="11" t="inlineStr">
        <is>
          <t>准备 1 份 15 页以内答辩 PPT：架构图、核心链路图、关键代码片段、演示脚本</t>
        </is>
      </c>
      <c r="E3" s="11" t="inlineStr">
        <is>
          <t>能脱稿讲清 3 个关键设计决策</t>
        </is>
      </c>
      <c r="F3" s="10" t="inlineStr">
        <is>
          <t>未开始</t>
        </is>
      </c>
      <c r="G3" s="11" t="inlineStr">
        <is>
          <t>【填写：链接 / 文件】</t>
        </is>
      </c>
      <c r="H3" s="11" t="inlineStr"/>
    </row>
    <row r="4" ht="34" customHeight="1">
      <c r="A4" s="10" t="n">
        <v>2</v>
      </c>
      <c r="B4" s="26" t="inlineStr">
        <is>
          <t>Prompt 审计记录（R2）</t>
        </is>
      </c>
      <c r="C4" s="11" t="inlineStr">
        <is>
          <t>展示 Prompt 版本、场景清单、典型 bad case 与改进效果</t>
        </is>
      </c>
      <c r="D4" s="11" t="inlineStr">
        <is>
          <t>从《Prompt 审计记录表》导出 8–12 条最有代表性的记录，准备现场抽查</t>
        </is>
      </c>
      <c r="E4" s="11" t="inlineStr">
        <is>
          <t>每条记录含版本/日期/前后对比</t>
        </is>
      </c>
      <c r="F4" s="10" t="inlineStr">
        <is>
          <t>未开始</t>
        </is>
      </c>
      <c r="G4" s="11" t="inlineStr">
        <is>
          <t>【填写：链接 / 文件】</t>
        </is>
      </c>
      <c r="H4" s="11" t="inlineStr"/>
    </row>
    <row r="5" ht="34" customHeight="1">
      <c r="A5" s="10" t="n">
        <v>3</v>
      </c>
      <c r="B5" s="25" t="inlineStr">
        <is>
          <t>现场 Demo（R3）</t>
        </is>
      </c>
      <c r="C5" s="11" t="inlineStr">
        <is>
          <t>在评审环境现场演示六大模块核心链路，失败可回滚</t>
        </is>
      </c>
      <c r="D5" s="11" t="inlineStr">
        <is>
          <t>准备在线环境+本地备用环境+录屏备用；演练 3 次，单步限时</t>
        </is>
      </c>
      <c r="E5" s="11" t="inlineStr">
        <is>
          <t>核心链路一次通过率 100%</t>
        </is>
      </c>
      <c r="F5" s="10" t="inlineStr">
        <is>
          <t>未开始</t>
        </is>
      </c>
      <c r="G5" s="11" t="inlineStr">
        <is>
          <t>【填写：链接 / 文件】</t>
        </is>
      </c>
      <c r="H5" s="11" t="inlineStr"/>
    </row>
    <row r="6" ht="34" customHeight="1">
      <c r="A6" s="10" t="n">
        <v>4</v>
      </c>
      <c r="B6" s="26" t="inlineStr">
        <is>
          <t>评分维度覆盖（R4）</t>
        </is>
      </c>
      <c r="C6" s="11" t="inlineStr">
        <is>
          <t>答辩内容覆盖 35%/25%/10%/10%/10%/10% 全部维度</t>
        </is>
      </c>
      <c r="D6" s="11" t="inlineStr">
        <is>
          <t>按权重分配答辩时间，创新点与技术深度占比最高</t>
        </is>
      </c>
      <c r="E6" s="11" t="inlineStr">
        <is>
          <t>每个维度至少 1 页 PPT/1 个证据</t>
        </is>
      </c>
      <c r="F6" s="10" t="inlineStr">
        <is>
          <t>未开始</t>
        </is>
      </c>
      <c r="G6" s="11" t="inlineStr">
        <is>
          <t>【填写：链接 / 文件】</t>
        </is>
      </c>
      <c r="H6" s="11" t="inlineStr"/>
    </row>
    <row r="7" ht="34" customHeight="1">
      <c r="A7" s="10" t="n">
        <v>5</v>
      </c>
      <c r="B7" s="25" t="inlineStr">
        <is>
          <t>Q&amp;A 预案（R5）</t>
        </is>
      </c>
      <c r="C7" s="11" t="inlineStr">
        <is>
          <t>预判技术追问、创新性质疑、合规问题并准备答案</t>
        </is>
      </c>
      <c r="D7" s="11" t="inlineStr">
        <is>
          <t>整理 &gt;=20 个高频问题与标准回答（含'为什么不用某方案'）</t>
        </is>
      </c>
      <c r="E7" s="11" t="inlineStr">
        <is>
          <t>每题回答 &lt;=90 秒且有证据</t>
        </is>
      </c>
      <c r="F7" s="10" t="inlineStr">
        <is>
          <t>未开始</t>
        </is>
      </c>
      <c r="G7" s="11" t="inlineStr">
        <is>
          <t>【填写：链接 / 文件】</t>
        </is>
      </c>
      <c r="H7" s="11" t="inlineStr"/>
    </row>
    <row r="8" ht="34" customHeight="1">
      <c r="A8" s="10" t="n">
        <v>6</v>
      </c>
      <c r="B8" s="26" t="inlineStr">
        <is>
          <t>材料一致性（R6）</t>
        </is>
      </c>
      <c r="C8" s="11" t="inlineStr">
        <is>
          <t>README/技术文档/视频/PPT 中的名称、数字、模块编号完全一致</t>
        </is>
      </c>
      <c r="D8" s="11" t="inlineStr">
        <is>
          <t>建立数据口径表，统一所有对外数字（页数/准确率/用户数）</t>
        </is>
      </c>
      <c r="E8" s="11" t="inlineStr">
        <is>
          <t>交叉核对 2 轮无冲突</t>
        </is>
      </c>
      <c r="F8" s="10" t="inlineStr">
        <is>
          <t>未开始</t>
        </is>
      </c>
      <c r="G8" s="11" t="inlineStr">
        <is>
          <t>【填写：链接 / 文件】</t>
        </is>
      </c>
      <c r="H8" s="11" t="inlineStr"/>
    </row>
  </sheetData>
  <autoFilter ref="A2:H8"/>
  <mergeCells count="1">
    <mergeCell ref="A1:H1"/>
  </mergeCells>
  <conditionalFormatting sqref="F3:F8">
    <cfRule type="expression" priority="1" dxfId="0" stopIfTrue="0">
      <formula>$F3="已完成"</formula>
    </cfRule>
    <cfRule type="expression" priority="2" dxfId="1" stopIfTrue="0">
      <formula>$F3="进行中"</formula>
    </cfRule>
    <cfRule type="expression" priority="3" dxfId="2" stopIfTrue="0">
      <formula>$F3="不通过"</formula>
    </cfRule>
    <cfRule type="expression" priority="4" dxfId="3" stopIfTrue="0">
      <formula>$F3="未开始"</formula>
    </cfRule>
    <cfRule type="expression" priority="5" dxfId="4" stopIfTrue="0">
      <formula>$F3="不适用"</formula>
    </cfRule>
  </conditionalFormatting>
  <dataValidations count="1">
    <dataValidation sqref="F3:F8" showDropDown="0" showInputMessage="1" showErrorMessage="1" allowBlank="1" errorTitle="输入无效" error="请从下拉列表中选择状态" promptTitle="状态" prompt="点击下拉选择：未开始 / 进行中 / 已完成 / 不通过 / 不适用" type="list">
      <formula1>"未开始,进行中,已完成,不通过,不适用"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14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44" customWidth="1" min="4" max="4"/>
    <col width="14" customWidth="1" min="5" max="5"/>
    <col width="10" customWidth="1" min="6" max="6"/>
    <col width="20" customWidth="1" min="7" max="7"/>
  </cols>
  <sheetData>
    <row r="1" ht="32" customHeight="1">
      <c r="A1" s="1" t="inlineStr">
        <is>
          <t>退件风险清单 · 提交前逐项清零</t>
        </is>
      </c>
    </row>
    <row r="2" ht="30" customHeight="1">
      <c r="A2" s="13" t="inlineStr">
        <is>
          <t>序号</t>
        </is>
      </c>
      <c r="B2" s="13" t="inlineStr">
        <is>
          <t>常见退件 / 扣分原因</t>
        </is>
      </c>
      <c r="C2" s="13" t="inlineStr">
        <is>
          <t>可能后果</t>
        </is>
      </c>
      <c r="D2" s="13" t="inlineStr">
        <is>
          <t>规避动作</t>
        </is>
      </c>
      <c r="E2" s="13" t="inlineStr">
        <is>
          <t>检查时点</t>
        </is>
      </c>
      <c r="F2" s="13" t="inlineStr">
        <is>
          <t>状态</t>
        </is>
      </c>
      <c r="G2" s="13" t="inlineStr">
        <is>
          <t>备注</t>
        </is>
      </c>
    </row>
    <row r="3" ht="34" customHeight="1">
      <c r="A3" s="10" t="n">
        <v>1</v>
      </c>
      <c r="B3" s="25" t="inlineStr">
        <is>
          <t>仓库为私有且未给评审授权</t>
        </is>
      </c>
      <c r="C3" s="11" t="inlineStr">
        <is>
          <t>评审无法查看代码，直接大幅扣分/退件</t>
        </is>
      </c>
      <c r="D3" s="11" t="inlineStr">
        <is>
          <t>提交前将仓库设为 Public，或提交评审账号并单独验证可访问</t>
        </is>
      </c>
      <c r="E3" s="10" t="inlineStr">
        <is>
          <t>提交前 1 天</t>
        </is>
      </c>
      <c r="F3" s="10" t="inlineStr">
        <is>
          <t>未开始</t>
        </is>
      </c>
      <c r="G3" s="11" t="inlineStr"/>
    </row>
    <row r="4" ht="34" customHeight="1">
      <c r="A4" s="10" t="n">
        <v>2</v>
      </c>
      <c r="B4" s="26" t="inlineStr">
        <is>
          <t>视频超时或画质不足</t>
        </is>
      </c>
      <c r="C4" s="11" t="inlineStr">
        <is>
          <t>不符合 5–8 分钟/&gt;=1080p 硬性要求，可能被判定不达标</t>
        </is>
      </c>
      <c r="D4" s="11" t="inlineStr">
        <is>
          <t>按 420 秒时间轴剪辑；导出后核对媒体信息</t>
        </is>
      </c>
      <c r="E4" s="10" t="inlineStr">
        <is>
          <t>录制前/导出后</t>
        </is>
      </c>
      <c r="F4" s="10" t="inlineStr">
        <is>
          <t>未开始</t>
        </is>
      </c>
      <c r="G4" s="11" t="inlineStr"/>
    </row>
    <row r="5" ht="34" customHeight="1">
      <c r="A5" s="10" t="n">
        <v>3</v>
      </c>
      <c r="B5" s="25" t="inlineStr">
        <is>
          <t>视频链接失效或需登录</t>
        </is>
      </c>
      <c r="C5" s="11" t="inlineStr">
        <is>
          <t>评审无法播放，视频项 0 分</t>
        </is>
      </c>
      <c r="D5" s="11" t="inlineStr">
        <is>
          <t>网盘设为公开链接 + 平台上传双备份，提交后回归测试</t>
        </is>
      </c>
      <c r="E5" s="10" t="inlineStr">
        <is>
          <t>提交前 1 天</t>
        </is>
      </c>
      <c r="F5" s="10" t="inlineStr">
        <is>
          <t>未开始</t>
        </is>
      </c>
      <c r="G5" s="11" t="inlineStr"/>
    </row>
    <row r="6" ht="19" customHeight="1">
      <c r="A6" s="10" t="n">
        <v>4</v>
      </c>
      <c r="B6" s="26" t="inlineStr">
        <is>
          <t>技术文档超过 30 页或章节缺失</t>
        </is>
      </c>
      <c r="C6" s="11" t="inlineStr">
        <is>
          <t>不符合格式要求，直接扣分</t>
        </is>
      </c>
      <c r="D6" s="11" t="inlineStr">
        <is>
          <t>导出 PDF 后数页数；对照官方 7 章节逐项打勾</t>
        </is>
      </c>
      <c r="E6" s="10" t="inlineStr">
        <is>
          <t>定稿前</t>
        </is>
      </c>
      <c r="F6" s="10" t="inlineStr">
        <is>
          <t>未开始</t>
        </is>
      </c>
      <c r="G6" s="11" t="inlineStr"/>
    </row>
    <row r="7" ht="19" customHeight="1">
      <c r="A7" s="10" t="n">
        <v>5</v>
      </c>
      <c r="B7" s="25" t="inlineStr">
        <is>
          <t>在线演示打不开/账号登录失败</t>
        </is>
      </c>
      <c r="C7" s="11" t="inlineStr">
        <is>
          <t>在线演示项 0 分，且影响实用性评分</t>
        </is>
      </c>
      <c r="D7" s="11" t="inlineStr">
        <is>
          <t>提交前用无痕浏览器实测；准备只读账号与备用地址</t>
        </is>
      </c>
      <c r="E7" s="10" t="inlineStr">
        <is>
          <t>评审前/每日</t>
        </is>
      </c>
      <c r="F7" s="10" t="inlineStr">
        <is>
          <t>未开始</t>
        </is>
      </c>
      <c r="G7" s="11" t="inlineStr"/>
    </row>
    <row r="8" ht="34" customHeight="1">
      <c r="A8" s="10" t="n">
        <v>6</v>
      </c>
      <c r="B8" s="26" t="inlineStr">
        <is>
          <t>真实 API Key 泄露在仓库</t>
        </is>
      </c>
      <c r="C8" s="11" t="inlineStr">
        <is>
          <t>安全合规问题，严重扣分</t>
        </is>
      </c>
      <c r="D8" s="11" t="inlineStr">
        <is>
          <t>gitleaks 扫描历史；确认 .env 已忽略；必要时轮换 Key</t>
        </is>
      </c>
      <c r="E8" s="10" t="inlineStr">
        <is>
          <t>提交前</t>
        </is>
      </c>
      <c r="F8" s="10" t="inlineStr">
        <is>
          <t>未开始</t>
        </is>
      </c>
      <c r="G8" s="11" t="inlineStr"/>
    </row>
    <row r="9" ht="34" customHeight="1">
      <c r="A9" s="10" t="n">
        <v>7</v>
      </c>
      <c r="B9" s="25" t="inlineStr">
        <is>
          <t>大文件导致 clone 失败</t>
        </is>
      </c>
      <c r="C9" s="11" t="inlineStr">
        <is>
          <t>评审无法拉取仓库</t>
        </is>
      </c>
      <c r="D9" s="11" t="inlineStr">
        <is>
          <t>视频/PDF/模型走外部链接；清理历史大文件（git filter-repo）</t>
        </is>
      </c>
      <c r="E9" s="10" t="inlineStr">
        <is>
          <t>提交前</t>
        </is>
      </c>
      <c r="F9" s="10" t="inlineStr">
        <is>
          <t>未开始</t>
        </is>
      </c>
      <c r="G9" s="11" t="inlineStr"/>
    </row>
    <row r="10" ht="34" customHeight="1">
      <c r="A10" s="10" t="n">
        <v>8</v>
      </c>
      <c r="B10" s="26" t="inlineStr">
        <is>
          <t>README 与实际作品不一致</t>
        </is>
      </c>
      <c r="C10" s="11" t="inlineStr">
        <is>
          <t>评审按 README 复现失败，扣工程质量分</t>
        </is>
      </c>
      <c r="D10" s="11" t="inlineStr">
        <is>
          <t>在干净环境按 README 全流程实测一遍</t>
        </is>
      </c>
      <c r="E10" s="10" t="inlineStr">
        <is>
          <t>提交前 2 天</t>
        </is>
      </c>
      <c r="F10" s="10" t="inlineStr">
        <is>
          <t>未开始</t>
        </is>
      </c>
      <c r="G10" s="11" t="inlineStr"/>
    </row>
    <row r="11" ht="19" customHeight="1">
      <c r="A11" s="10" t="n">
        <v>9</v>
      </c>
      <c r="B11" s="25" t="inlineStr">
        <is>
          <t>缺少 LICENSE / 第三方合规说明</t>
        </is>
      </c>
      <c r="C11" s="11" t="inlineStr">
        <is>
          <t>主流规范扣分，答辩被追问</t>
        </is>
      </c>
      <c r="D11" s="11" t="inlineStr">
        <is>
          <t>补齐 LICENSE，生成依赖许可证清单并在文档注明</t>
        </is>
      </c>
      <c r="E11" s="10" t="inlineStr">
        <is>
          <t>定稿前</t>
        </is>
      </c>
      <c r="F11" s="10" t="inlineStr">
        <is>
          <t>未开始</t>
        </is>
      </c>
      <c r="G11" s="11" t="inlineStr"/>
    </row>
    <row r="12" ht="19" customHeight="1">
      <c r="A12" s="10" t="n">
        <v>10</v>
      </c>
      <c r="B12" s="26" t="inlineStr">
        <is>
          <t>命名混乱、多版本混投</t>
        </is>
      </c>
      <c r="C12" s="11" t="inlineStr">
        <is>
          <t>评审拿错文件，影响体验</t>
        </is>
      </c>
      <c r="D12" s="11" t="inlineStr">
        <is>
          <t>统一命名规范，删除旧版本，提交前按总清单核对</t>
        </is>
      </c>
      <c r="E12" s="10" t="inlineStr">
        <is>
          <t>提交前</t>
        </is>
      </c>
      <c r="F12" s="10" t="inlineStr">
        <is>
          <t>未开始</t>
        </is>
      </c>
      <c r="G12" s="11" t="inlineStr"/>
    </row>
    <row r="13" ht="19" customHeight="1">
      <c r="A13" s="10" t="n">
        <v>11</v>
      </c>
      <c r="B13" s="25" t="inlineStr">
        <is>
          <t>迟交/最后一天系统拥堵</t>
        </is>
      </c>
      <c r="C13" s="11" t="inlineStr">
        <is>
          <t>错过截止直接退件</t>
        </is>
      </c>
      <c r="D13" s="11" t="inlineStr">
        <is>
          <t>提前 3 天完成提交并保留回执截图</t>
        </is>
      </c>
      <c r="E13" s="10" t="inlineStr">
        <is>
          <t>11-16 前</t>
        </is>
      </c>
      <c r="F13" s="10" t="inlineStr">
        <is>
          <t>未开始</t>
        </is>
      </c>
      <c r="G13" s="11" t="inlineStr"/>
    </row>
    <row r="14" ht="19" customHeight="1">
      <c r="A14" s="10" t="n">
        <v>12</v>
      </c>
      <c r="B14" s="26" t="inlineStr">
        <is>
          <t>演示数据含未授权论文/隐私</t>
        </is>
      </c>
      <c r="C14" s="11" t="inlineStr">
        <is>
          <t>版权与合规风险</t>
        </is>
      </c>
      <c r="D14" s="11" t="inlineStr">
        <is>
          <t>使用公开论文，脱敏真实信息，必要时打码</t>
        </is>
      </c>
      <c r="E14" s="10" t="inlineStr">
        <is>
          <t>录制前</t>
        </is>
      </c>
      <c r="F14" s="10" t="inlineStr">
        <is>
          <t>未开始</t>
        </is>
      </c>
      <c r="G14" s="11" t="inlineStr"/>
    </row>
  </sheetData>
  <autoFilter ref="A2:G14"/>
  <mergeCells count="1">
    <mergeCell ref="A1:G1"/>
  </mergeCells>
  <conditionalFormatting sqref="F3:F14">
    <cfRule type="expression" priority="1" dxfId="0" stopIfTrue="0">
      <formula>$F3="已完成"</formula>
    </cfRule>
    <cfRule type="expression" priority="2" dxfId="1" stopIfTrue="0">
      <formula>$F3="进行中"</formula>
    </cfRule>
    <cfRule type="expression" priority="3" dxfId="2" stopIfTrue="0">
      <formula>$F3="不通过"</formula>
    </cfRule>
    <cfRule type="expression" priority="4" dxfId="3" stopIfTrue="0">
      <formula>$F3="未开始"</formula>
    </cfRule>
    <cfRule type="expression" priority="5" dxfId="4" stopIfTrue="0">
      <formula>$F3="不适用"</formula>
    </cfRule>
  </conditionalFormatting>
  <dataValidations count="1">
    <dataValidation sqref="F3:F14" showDropDown="0" showInputMessage="1" showErrorMessage="1" allowBlank="1" errorTitle="输入无效" error="请从下拉列表中选择状态" promptTitle="状态" prompt="点击下拉选择：未开始 / 进行中 / 已完成 / 不通过 / 不适用" type="list">
      <formula1>"未开始,进行中,已完成,不通过,不适用"</formula1>
    </dataValidation>
  </dataValidation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参赛者填写</dc:creator>
  <dc:title xmlns:dc="http://purl.org/dc/elements/1.1/">评审自检清单（2026 第九届传智杯 AI大模型创新应用挑战赛）</dc:title>
  <dc:description xmlns:dc="http://purl.org/dc/elements/1.1/">非官方模板，按官方要求整理</dc:description>
  <dc:subject xmlns:dc="http://purl.org/dc/elements/1.1/">参赛作品提交前自查模板（非官方）</dc:subject>
  <dcterms:created xmlns:dcterms="http://purl.org/dc/terms/" xmlns:xsi="http://www.w3.org/2001/XMLSchema-instance" xsi:type="dcterms:W3CDTF">2026-10-27T11:42:38Z</dcterms:created>
  <dcterms:modified xmlns:dcterms="http://purl.org/dc/terms/" xmlns:xsi="http://www.w3.org/2001/XMLSchema-instance" xsi:type="dcterms:W3CDTF">2026-10-29T22:40:20Z</dcterms:modified>
</cp:coreProperties>
</file>